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hidePivotFieldList="1"/>
  <mc:AlternateContent xmlns:mc="http://schemas.openxmlformats.org/markup-compatibility/2006">
    <mc:Choice Requires="x15">
      <x15ac:absPath xmlns:x15ac="http://schemas.microsoft.com/office/spreadsheetml/2010/11/ac" url="/Users/victoriakuwamoto/Downloads/"/>
    </mc:Choice>
  </mc:AlternateContent>
  <xr:revisionPtr revIDLastSave="0" documentId="13_ncr:1_{FE55FDF2-C3BF-0044-9069-6D09907F813F}" xr6:coauthVersionLast="45" xr6:coauthVersionMax="47" xr10:uidLastSave="{00000000-0000-0000-0000-000000000000}"/>
  <bookViews>
    <workbookView xWindow="0" yWindow="460" windowWidth="28800" windowHeight="16240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3" l="1"/>
  <c r="F12" i="3"/>
  <c r="F29" i="3"/>
</calcChain>
</file>

<file path=xl/sharedStrings.xml><?xml version="1.0" encoding="utf-8"?>
<sst xmlns="http://schemas.openxmlformats.org/spreadsheetml/2006/main" count="2018" uniqueCount="320">
  <si>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</si>
  <si>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</si>
  <si>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</si>
  <si>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</si>
  <si>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</si>
  <si>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</si>
  <si>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</si>
  <si>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</si>
  <si>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</si>
  <si>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</si>
  <si>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</si>
  <si>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</si>
  <si>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</si>
  <si>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</si>
  <si>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</si>
  <si>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</si>
  <si>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</si>
  <si>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</si>
  <si>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</si>
  <si>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</si>
  <si>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</si>
  <si>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</si>
  <si>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</si>
  <si>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</si>
  <si>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</si>
  <si>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</si>
  <si>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</si>
  <si>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</si>
  <si>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</si>
  <si>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</si>
  <si>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</si>
  <si>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</si>
  <si>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</si>
  <si>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</si>
  <si>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</si>
  <si>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</si>
  <si>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</si>
  <si>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</si>
  <si>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</si>
  <si>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</si>
  <si>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</si>
  <si>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</si>
  <si>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</si>
  <si>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</si>
  <si>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</si>
  <si>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</si>
  <si>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</si>
  <si>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</si>
  <si>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</si>
  <si>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</si>
  <si>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</si>
  <si>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</si>
  <si>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</si>
  <si>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</si>
  <si>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</si>
  <si>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</si>
  <si>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</si>
  <si>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</si>
  <si>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</si>
  <si>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</si>
  <si>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</si>
  <si>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</si>
  <si>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</si>
  <si>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</si>
  <si>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</si>
  <si>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</si>
  <si>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</si>
  <si>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</si>
  <si>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</si>
  <si>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</si>
  <si>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</si>
  <si>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</si>
  <si>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</si>
  <si>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</si>
  <si>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</si>
  <si>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</si>
  <si>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</si>
  <si>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</si>
  <si>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</si>
  <si>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</si>
  <si>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</si>
  <si>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</si>
  <si>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</si>
  <si>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</si>
  <si>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</si>
  <si>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</si>
  <si>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</si>
  <si>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</si>
  <si>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</si>
  <si>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</si>
  <si>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</si>
  <si>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</si>
  <si>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</si>
  <si>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</si>
  <si>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</si>
  <si>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</si>
  <si>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</si>
  <si>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</si>
  <si>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</si>
  <si>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</si>
  <si>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</si>
  <si>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</si>
  <si>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</si>
  <si>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</si>
  <si>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</si>
  <si>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</si>
  <si>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</si>
  <si>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</si>
  <si>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</si>
  <si>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</si>
  <si>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</si>
  <si>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</si>
  <si>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</si>
  <si>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</si>
  <si>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</si>
  <si>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</si>
  <si>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</si>
  <si>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</si>
  <si>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</si>
  <si>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</si>
  <si>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</si>
  <si>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</si>
  <si>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</si>
  <si>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</si>
  <si>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</si>
  <si>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</si>
  <si>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</si>
  <si>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</si>
  <si>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</si>
  <si>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</si>
  <si>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</si>
  <si>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</si>
  <si>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</si>
  <si>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</si>
  <si>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</si>
  <si>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</si>
  <si>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</si>
  <si>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</si>
  <si>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</si>
  <si>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</si>
  <si>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</si>
  <si>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</si>
  <si>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</si>
  <si>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</si>
  <si>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</si>
  <si>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</si>
  <si>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</si>
  <si>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</si>
  <si>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</si>
  <si>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</si>
  <si>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</si>
  <si>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</si>
  <si>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</si>
  <si>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</si>
  <si>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</si>
  <si>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</si>
  <si>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</si>
  <si>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</si>
  <si>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</si>
  <si>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</si>
  <si>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</si>
  <si>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</si>
  <si>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</si>
  <si>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</si>
  <si>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</si>
  <si>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</si>
  <si>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</si>
  <si>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</si>
  <si>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</si>
  <si>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</si>
  <si>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</si>
  <si>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</si>
  <si>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</si>
  <si>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</si>
  <si>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</si>
  <si>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</si>
  <si>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</si>
  <si>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</si>
  <si>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</si>
  <si>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</si>
  <si>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</si>
  <si>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</si>
  <si>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</si>
  <si>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</si>
  <si>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</si>
  <si>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</si>
  <si>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</si>
  <si>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</si>
  <si>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</si>
  <si>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</si>
  <si>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</si>
  <si>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</si>
  <si>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</si>
  <si>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</si>
  <si>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</si>
  <si>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</si>
  <si>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</si>
  <si>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</si>
  <si>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</si>
  <si>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</si>
  <si>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</si>
  <si>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</si>
  <si>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</si>
  <si>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</si>
  <si>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</si>
  <si>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</si>
  <si>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</si>
  <si>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</si>
  <si>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</si>
  <si>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</si>
  <si>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</si>
  <si>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</si>
  <si>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</si>
  <si>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</si>
  <si>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</si>
  <si>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</si>
  <si>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</si>
  <si>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</si>
  <si>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</si>
  <si>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</si>
  <si>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</si>
  <si>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</si>
  <si>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</si>
  <si>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</si>
  <si>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</si>
  <si>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</si>
  <si>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</si>
  <si>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</si>
  <si>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</si>
  <si>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</si>
  <si>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</si>
  <si>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</si>
  <si>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</si>
  <si>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</si>
  <si>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</si>
  <si>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</si>
  <si>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</si>
  <si>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</si>
  <si>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</si>
  <si>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</si>
  <si>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</si>
  <si>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</si>
  <si>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</si>
  <si>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</si>
  <si>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</si>
  <si>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</si>
  <si>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</si>
  <si>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</si>
  <si>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</si>
  <si>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</si>
  <si>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</si>
  <si>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</si>
  <si>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</si>
  <si>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</si>
  <si>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</si>
  <si>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</si>
  <si>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</si>
  <si>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</si>
  <si>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</si>
  <si>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</si>
  <si>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</si>
  <si>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</si>
  <si>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</si>
  <si>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</si>
  <si>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</si>
  <si>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</si>
  <si>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</si>
  <si>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</si>
  <si>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</si>
  <si>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</si>
  <si>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</si>
  <si>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</si>
  <si>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</si>
  <si>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</si>
  <si>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</si>
  <si>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</si>
  <si>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</si>
  <si>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</si>
  <si>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</si>
  <si>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</si>
  <si>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</si>
  <si>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</si>
  <si>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</si>
  <si>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</si>
  <si>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</si>
  <si>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</si>
  <si>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</si>
  <si>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</si>
  <si>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</si>
  <si>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</si>
  <si>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</si>
  <si>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</si>
  <si>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</si>
  <si>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</si>
  <si>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</si>
  <si>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</si>
  <si>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</si>
  <si>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</si>
  <si>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</si>
  <si>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</si>
  <si>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</si>
  <si>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</si>
  <si>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</si>
  <si>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</si>
  <si>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</si>
  <si>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</si>
  <si>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</si>
  <si>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</si>
  <si>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</si>
  <si>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</si>
  <si>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</si>
  <si>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</si>
  <si>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</si>
  <si>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</si>
  <si>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</si>
  <si>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</si>
  <si>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Soma de EA Play Season Pass
Price</t>
  </si>
  <si>
    <t>Soma de Minecraft Season Pass Price</t>
  </si>
  <si>
    <r>
      <t xml:space="preserve"> </t>
    </r>
    <r>
      <rPr>
        <b/>
        <sz val="14"/>
        <color theme="0"/>
        <rFont val="Segoe UI Symbol"/>
        <family val="2"/>
      </rPr>
      <t>&gt; Welcome !</t>
    </r>
  </si>
  <si>
    <t>XBOX GAME PASS SUBSCRIPTION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</si>
</sst>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R$&quot;* #,##0.00_);_(&quot;R$&quot;* \(#,##0.00\);_(&quot;R$&quot;* &quot;-&quot;??_);_(@_)"/>
    <numFmt numFmtId="164" formatCode="_-&quot;R$&quot;\ * #,##0.00_-;\-&quot;R$&quot;\ * #,##0.00_-;_-&quot;R$&quot;\ * &quot;-&quot;??_-;_-@_-"/>
    <numFmt numFmtId="165" formatCode="_-[$R$-416]\ * #,##0.00_-;\-[$R$-416]\ * #,##0.00_-;_-[$R$-416]\ * &quot;-&quot;??_-;_-@_-"/>
  </numFmts>
  <fonts count="10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8"/>
      <color rgb="FF22C55E"/>
      <name val="Segoe UI Symbol"/>
      <family val="2"/>
    </font>
    <font>
      <sz val="11"/>
      <color rgb="FF2AE6B1"/>
      <name val="Aptos Narrow"/>
      <family val="2"/>
      <scheme val="minor"/>
    </font>
    <font>
      <sz val="11"/>
      <color theme="0"/>
      <name val="Aptos Narrow"/>
      <scheme val="minor"/>
    </font>
    <font>
      <b/>
      <sz val="14"/>
      <color theme="0"/>
      <name val="Segoe UI Symbol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07C1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/>
      <top/>
      <bottom style="thick">
        <color rgb="FF107C10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164" fontId="3" fillId="0" borderId="0" applyFont="0" applyFill="0" applyBorder="0" applyAlignment="0" applyProtection="0"/>
    <xf numFmtId="0" fontId="5" fillId="0" borderId="2" applyNumberFormat="0" applyFill="0" applyAlignment="0" applyProtection="0"/>
  </cellStyleXfs>
  <cellXfs count="23">
    <xf numFmtId="0" fontId="0" fillId="0" borderId="0" xfId="0"/>
    <xf numFmtId="0" fontId="2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 vertical="center"/>
    </xf>
    <xf numFmtId="0" fontId="0" fillId="8" borderId="0" xfId="0" applyFill="1"/>
    <xf numFmtId="0" fontId="1" fillId="7" borderId="0" xfId="0" applyFont="1" applyFill="1"/>
    <xf numFmtId="44" fontId="0" fillId="0" borderId="0" xfId="0" applyNumberFormat="1"/>
    <xf numFmtId="0" fontId="0" fillId="0" borderId="2" xfId="0" applyBorder="1"/>
    <xf numFmtId="0" fontId="7" fillId="9" borderId="0" xfId="0" applyFont="1" applyFill="1"/>
    <xf numFmtId="0" fontId="8" fillId="9" borderId="0" xfId="0" applyFont="1" applyFill="1" applyAlignment="1">
      <alignment horizontal="left" vertical="center"/>
    </xf>
    <xf numFmtId="0" fontId="6" fillId="8" borderId="3" xfId="3" applyFont="1" applyFill="1" applyBorder="1" applyAlignment="1">
      <alignment horizontal="left" vertical="center"/>
    </xf>
    <xf numFmtId="0" fontId="0" fillId="0" borderId="3" xfId="0" applyBorder="1"/>
  </cellXfs>
  <cellStyles count="4">
    <cellStyle name="Moeda" xfId="2" builtinId="4"/>
    <cellStyle name="Normal" xfId="0" builtinId="0"/>
    <cellStyle name="Título 1" xfId="1" builtinId="16"/>
    <cellStyle name="Título 2" xfId="3" builtinId="17" customBuiltin="1"/>
  </cellStyles>
  <dxfs count="70">
    <dxf>
      <numFmt numFmtId="166" formatCode="&quot;R$&quot;#,##0.00"/>
    </dxf>
    <dxf>
      <alignment vertical="center"/>
    </dxf>
    <dxf>
      <alignment horizontal="left" relativeIndent="1"/>
    </dxf>
    <dxf>
      <alignment relativeIndent="-1"/>
    </dxf>
    <dxf>
      <alignment horizontal="center"/>
    </dxf>
    <dxf>
      <numFmt numFmtId="165" formatCode="_-[$R$-416]\ * #,##0.00_-;\-[$R$-416]\ * #,##0.00_-;_-[$R$-416]\ * &quot;-&quot;??_-;_-@_-"/>
    </dxf>
    <dxf>
      <numFmt numFmtId="166" formatCode="&quot;R$&quot;#,##0.00"/>
    </dxf>
    <dxf>
      <alignment vertical="center"/>
    </dxf>
    <dxf>
      <alignment horizontal="left" relativeIndent="1"/>
    </dxf>
    <dxf>
      <alignment relativeIndent="-1"/>
    </dxf>
    <dxf>
      <alignment horizontal="center"/>
    </dxf>
    <dxf>
      <numFmt numFmtId="165" formatCode="_-[$R$-416]\ * #,##0.00_-;\-[$R$-416]\ * #,##0.00_-;_-[$R$-416]\ * &quot;-&quot;??_-;_-@_-"/>
    </dxf>
    <dxf>
      <numFmt numFmtId="166" formatCode="&quot;R$&quot;#,##0.00"/>
    </dxf>
    <dxf>
      <alignment vertical="center"/>
    </dxf>
    <dxf>
      <alignment horizontal="left" relativeIndent="1"/>
    </dxf>
    <dxf>
      <alignment relativeIndent="-1"/>
    </dxf>
    <dxf>
      <alignment horizontal="center"/>
    </dxf>
    <dxf>
      <numFmt numFmtId="165" formatCode="_-[$R$-416]\ * #,##0.00_-;\-[$R$-416]\ * #,##0.00_-;_-[$R$-416]\ * &quot;-&quot;??_-;_-@_-"/>
    </dxf>
    <dxf>
      <numFmt numFmtId="166" formatCode="&quot;R$&quot;#,##0.00"/>
    </dxf>
    <dxf>
      <alignment vertical="center"/>
    </dxf>
    <dxf>
      <alignment horizontal="left" relativeIndent="1"/>
    </dxf>
    <dxf>
      <alignment relativeIndent="-1"/>
    </dxf>
    <dxf>
      <alignment horizontal="center"/>
    </dxf>
    <dxf>
      <numFmt numFmtId="165" formatCode="_-[$R$-416]\ * #,##0.00_-;\-[$R$-416]\ * #,##0.00_-;_-[$R$-416]\ * &quot;-&quot;??_-;_-@_-"/>
    </dxf>
    <dxf>
      <numFmt numFmtId="166" formatCode="&quot;R$&quot;#,##0.00"/>
    </dxf>
    <dxf>
      <alignment vertical="center"/>
    </dxf>
    <dxf>
      <alignment horizontal="left" relativeIndent="1"/>
    </dxf>
    <dxf>
      <alignment relativeIndent="-1"/>
    </dxf>
    <dxf>
      <alignment horizontal="center"/>
    </dxf>
    <dxf>
      <numFmt numFmtId="165" formatCode="_-[$R$-416]\ * #,##0.00_-;\-[$R$-416]\ * #,##0.00_-;_-[$R$-416]\ * &quot;-&quot;??_-;_-@_-"/>
    </dxf>
    <dxf>
      <numFmt numFmtId="166" formatCode="&quot;R$&quot;#,##0.00"/>
    </dxf>
    <dxf>
      <alignment vertical="center"/>
    </dxf>
    <dxf>
      <alignment horizontal="left" relativeIndent="1"/>
    </dxf>
    <dxf>
      <alignment relativeIndent="-1"/>
    </dxf>
    <dxf>
      <alignment horizontal="center"/>
    </dxf>
    <dxf>
      <numFmt numFmtId="165" formatCode="_-[$R$-416]\ * #,##0.00_-;\-[$R$-416]\ * #,##0.00_-;_-[$R$-416]\ * &quot;-&quot;??_-;_-@_-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b/>
        <i val="0"/>
        <color rgb="FF107C10"/>
      </font>
      <fill>
        <patternFill patternType="solid">
          <fgColor indexed="64"/>
          <bgColor rgb="FF107C10"/>
        </patternFill>
      </fill>
      <border diagonalUp="0" diagonalDown="0">
        <left/>
        <right/>
        <top/>
        <bottom/>
        <vertical/>
        <horizontal/>
      </border>
    </dxf>
    <dxf>
      <numFmt numFmtId="165" formatCode="_-[$R$-416]\ * #,##0.00_-;\-[$R$-416]\ * #,##0.00_-;_-[$R$-416]\ * &quot;-&quot;??_-;_-@_-"/>
    </dxf>
    <dxf>
      <alignment horizontal="center"/>
    </dxf>
    <dxf>
      <alignment relativeIndent="-1"/>
    </dxf>
    <dxf>
      <alignment horizontal="left" relativeIndent="1"/>
    </dxf>
    <dxf>
      <alignment vertical="center"/>
    </dxf>
    <dxf>
      <numFmt numFmtId="166" formatCode="&quot;R$&quot;#,##0.00"/>
    </dxf>
    <dxf>
      <numFmt numFmtId="165" formatCode="_-[$R$-416]\ * #,##0.00_-;\-[$R$-416]\ * #,##0.00_-;_-[$R$-416]\ * &quot;-&quot;??_-;_-@_-"/>
    </dxf>
    <dxf>
      <alignment horizontal="center"/>
    </dxf>
    <dxf>
      <alignment relativeIndent="-1"/>
    </dxf>
    <dxf>
      <alignment horizontal="left" relativeIndent="1"/>
    </dxf>
    <dxf>
      <alignment vertical="center"/>
    </dxf>
    <dxf>
      <numFmt numFmtId="166" formatCode="&quot;R$&quot;#,##0.00"/>
    </dxf>
    <dxf>
      <numFmt numFmtId="165" formatCode="_-[$R$-416]\ * #,##0.00_-;\-[$R$-416]\ * #,##0.00_-;_-[$R$-416]\ * &quot;-&quot;??_-;_-@_-"/>
    </dxf>
    <dxf>
      <alignment horizontal="center"/>
    </dxf>
    <dxf>
      <alignment relativeIndent="-1"/>
    </dxf>
    <dxf>
      <alignment horizontal="left" relativeIndent="1"/>
    </dxf>
    <dxf>
      <alignment vertical="center"/>
    </dxf>
    <dxf>
      <numFmt numFmtId="166" formatCode="&quot;R$&quot;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A737BEE-DBD0-F94C-91B0-59FAEBEC0335}">
      <tableStyleElement type="wholeTable" dxfId="37"/>
      <tableStyleElement type="headerRow" dxfId="36"/>
    </tableStyle>
  </tableStyles>
  <colors>
    <mruColors>
      <color rgb="FF107C10"/>
      <color rgb="FFE0E0E0"/>
      <color rgb="FF22C55E"/>
      <color rgb="FF9BC848"/>
      <color rgb="FF2AE6B1"/>
      <color rgb="FF00CE55"/>
      <color rgb="FFE8E6E9"/>
      <color rgb="FF5BF6A8"/>
      <color rgb="FF67F5B7"/>
      <color rgb="FF000000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[XBOXDASHBOARD.xlsx]C̳álculos!tbl_annual_total</c:name>
    <c:fmtId val="2"/>
  </c:pivotSource>
  <c:chart>
    <c:autoTitleDeleted val="1"/>
    <c:pivotFmts>
      <c:pivotFmt>
        <c:idx val="0"/>
        <c:spPr>
          <a:solidFill>
            <a:srgbClr val="67F5B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7F5B7"/>
          </a:solidFill>
          <a:ln>
            <a:noFill/>
          </a:ln>
          <a:effectLst/>
        </c:spPr>
      </c:pivotFmt>
      <c:pivotFmt>
        <c:idx val="2"/>
        <c:spPr>
          <a:solidFill>
            <a:srgbClr val="67F5B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CE5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CE5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CE5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061243914174184E-2"/>
          <c:y val="4.411623466881684E-4"/>
          <c:w val="0.89379396325459315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CE5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CE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21-D445-BF4D-8B0C1911C136}"/>
              </c:ext>
            </c:extLst>
          </c:dPt>
          <c:dPt>
            <c:idx val="1"/>
            <c:invertIfNegative val="0"/>
            <c:bubble3D val="0"/>
            <c:spPr>
              <a:solidFill>
                <a:srgbClr val="00CE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821-D445-BF4D-8B0C1911C136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21-D445-BF4D-8B0C1911C136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21-D445-BF4D-8B0C1911C1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_-[$R$-416]\ * #,##0.00_-;\-[$R$-416]\ * #,##0.00_-;_-[$R$-416]\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E-9944-8B32-74B595E73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5550624"/>
        <c:axId val="310157120"/>
      </c:barChart>
      <c:catAx>
        <c:axId val="265550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0157120"/>
        <c:crosses val="autoZero"/>
        <c:auto val="1"/>
        <c:lblAlgn val="ctr"/>
        <c:lblOffset val="100"/>
        <c:noMultiLvlLbl val="0"/>
      </c:catAx>
      <c:valAx>
        <c:axId val="310157120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6555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hyperlink" Target="https://cmints.io/quick-start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hyperlink" Target="https://creativecommons.org/licenses/by-nc/3.0/" TargetMode="External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hyperlink" Target="https://freepngimg.com/png/26854-xbox-photo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9.png"/><Relationship Id="rId7" Type="http://schemas.openxmlformats.org/officeDocument/2006/relationships/hyperlink" Target="https://cmints.io/quick-start" TargetMode="External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1.png"/><Relationship Id="rId5" Type="http://schemas.openxmlformats.org/officeDocument/2006/relationships/chart" Target="../charts/chart1.xml"/><Relationship Id="rId10" Type="http://schemas.openxmlformats.org/officeDocument/2006/relationships/hyperlink" Target="https://creativecommons.org/licenses/by-nc/3.0/" TargetMode="External"/><Relationship Id="rId4" Type="http://schemas.openxmlformats.org/officeDocument/2006/relationships/image" Target="../media/image10.svg"/><Relationship Id="rId9" Type="http://schemas.openxmlformats.org/officeDocument/2006/relationships/hyperlink" Target="https://freepngimg.com/png/26854-xbox-phot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7311" y="5552208"/>
          <a:ext cx="1729585" cy="775567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508000</xdr:colOff>
      <xdr:row>12</xdr:row>
      <xdr:rowOff>150090</xdr:rowOff>
    </xdr:from>
    <xdr:to>
      <xdr:col>13</xdr:col>
      <xdr:colOff>519545</xdr:colOff>
      <xdr:row>16</xdr:row>
      <xdr:rowOff>34636</xdr:rowOff>
    </xdr:to>
    <xdr:pic>
      <xdr:nvPicPr>
        <xdr:cNvPr id="8" name="Imagem 7" descr="CMintS | Quick start">
          <a:extLst>
            <a:ext uri="{FF2B5EF4-FFF2-40B4-BE49-F238E27FC236}">
              <a16:creationId xmlns:a16="http://schemas.microsoft.com/office/drawing/2014/main" id="{2187E5CB-2474-FE45-81C4-6B28E888A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tretch>
          <a:fillRect/>
        </a:stretch>
      </xdr:blipFill>
      <xdr:spPr>
        <a:xfrm>
          <a:off x="8139545" y="2632363"/>
          <a:ext cx="681182" cy="681182"/>
        </a:xfrm>
        <a:prstGeom prst="rect">
          <a:avLst/>
        </a:prstGeom>
      </xdr:spPr>
    </xdr:pic>
    <xdr:clientData/>
  </xdr:twoCellAnchor>
  <xdr:twoCellAnchor editAs="absolute">
    <xdr:from>
      <xdr:col>4</xdr:col>
      <xdr:colOff>107738</xdr:colOff>
      <xdr:row>11</xdr:row>
      <xdr:rowOff>134861</xdr:rowOff>
    </xdr:from>
    <xdr:to>
      <xdr:col>5</xdr:col>
      <xdr:colOff>600364</xdr:colOff>
      <xdr:row>17</xdr:row>
      <xdr:rowOff>50299</xdr:rowOff>
    </xdr:to>
    <xdr:pic>
      <xdr:nvPicPr>
        <xdr:cNvPr id="19" name="Imagem 18" descr="Xbox Photo Transparent HQ PNG Download | FreePNGimg">
          <a:extLst>
            <a:ext uri="{FF2B5EF4-FFF2-40B4-BE49-F238E27FC236}">
              <a16:creationId xmlns:a16="http://schemas.microsoft.com/office/drawing/2014/main" id="{7CEAEEB9-984E-8C42-BF61-B5AABD759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4"/>
            </a:ext>
          </a:extLst>
        </a:blip>
        <a:stretch>
          <a:fillRect/>
        </a:stretch>
      </xdr:blipFill>
      <xdr:spPr>
        <a:xfrm>
          <a:off x="2786283" y="2363134"/>
          <a:ext cx="1162263" cy="1162347"/>
        </a:xfrm>
        <a:prstGeom prst="rect">
          <a:avLst/>
        </a:prstGeom>
      </xdr:spPr>
    </xdr:pic>
    <xdr:clientData/>
  </xdr:twoCellAnchor>
  <xdr:twoCellAnchor editAs="absolute">
    <xdr:from>
      <xdr:col>20</xdr:col>
      <xdr:colOff>593606</xdr:colOff>
      <xdr:row>141</xdr:row>
      <xdr:rowOff>111360</xdr:rowOff>
    </xdr:from>
    <xdr:to>
      <xdr:col>21</xdr:col>
      <xdr:colOff>653623</xdr:colOff>
      <xdr:row>147</xdr:row>
      <xdr:rowOff>11711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1D36E3D3-4F23-6A42-9BA1-EFDADC766025}"/>
            </a:ext>
          </a:extLst>
        </xdr:cNvPr>
        <xdr:cNvSpPr txBox="1"/>
      </xdr:nvSpPr>
      <xdr:spPr>
        <a:xfrm>
          <a:off x="13582242" y="27924360"/>
          <a:ext cx="729654" cy="1077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900">
              <a:hlinkClick xmlns:r="http://schemas.openxmlformats.org/officeDocument/2006/relationships" r:id="rId14" tooltip="https://freepngimg.com/png/26854-xbox-photo"/>
            </a:rPr>
            <a:t>Esta Foto</a:t>
          </a:r>
          <a:r>
            <a:rPr lang="pt-BR" sz="900"/>
            <a:t> de Autor Desconhecido está licenciado em </a:t>
          </a:r>
          <a:r>
            <a:rPr lang="pt-BR" sz="900">
              <a:hlinkClick xmlns:r="http://schemas.openxmlformats.org/officeDocument/2006/relationships" r:id="rId15" tooltip="https://creativecommons.org/licenses/by-nc/3.0/"/>
            </a:rPr>
            <a:t>CC BY-NC</a:t>
          </a:r>
          <a:endParaRPr lang="pt-BR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10</xdr:row>
      <xdr:rowOff>15585</xdr:rowOff>
    </xdr:from>
    <xdr:to>
      <xdr:col>0</xdr:col>
      <xdr:colOff>2112818</xdr:colOff>
      <xdr:row>23</xdr:row>
      <xdr:rowOff>136521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 2">
              <a:extLst>
                <a:ext uri="{FF2B5EF4-FFF2-40B4-BE49-F238E27FC236}">
                  <a16:creationId xmlns:a16="http://schemas.microsoft.com/office/drawing/2014/main" id="{DD01D87C-69D6-D340-B3B3-2F90A2ED95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78312"/>
              <a:ext cx="2124364" cy="26840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196272</xdr:colOff>
      <xdr:row>6</xdr:row>
      <xdr:rowOff>57728</xdr:rowOff>
    </xdr:from>
    <xdr:to>
      <xdr:col>5</xdr:col>
      <xdr:colOff>219363</xdr:colOff>
      <xdr:row>15</xdr:row>
      <xdr:rowOff>138195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B9A0A953-74ED-1E4F-9CF4-386782EE2E2A}"/>
            </a:ext>
          </a:extLst>
        </xdr:cNvPr>
        <xdr:cNvGrpSpPr/>
      </xdr:nvGrpSpPr>
      <xdr:grpSpPr>
        <a:xfrm>
          <a:off x="2332181" y="1096819"/>
          <a:ext cx="5957455" cy="1997012"/>
          <a:chOff x="2539999" y="1108364"/>
          <a:chExt cx="5957455" cy="1997012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46615387-ED75-DB4A-84C2-585BC0DDE09A}"/>
              </a:ext>
            </a:extLst>
          </xdr:cNvPr>
          <xdr:cNvGrpSpPr/>
        </xdr:nvGrpSpPr>
        <xdr:grpSpPr>
          <a:xfrm>
            <a:off x="2551547" y="1108365"/>
            <a:ext cx="5934363" cy="1997011"/>
            <a:chOff x="2551547" y="1108365"/>
            <a:chExt cx="5934363" cy="1997011"/>
          </a:xfrm>
        </xdr:grpSpPr>
        <xdr:sp macro="" textlink="">
          <xdr:nvSpPr>
            <xdr:cNvPr id="8" name="Retângulo Arredondado 7">
              <a:extLst>
                <a:ext uri="{FF2B5EF4-FFF2-40B4-BE49-F238E27FC236}">
                  <a16:creationId xmlns:a16="http://schemas.microsoft.com/office/drawing/2014/main" id="{68A96F5A-D1A2-914E-BA27-94CBBE961DEB}"/>
                </a:ext>
              </a:extLst>
            </xdr:cNvPr>
            <xdr:cNvSpPr/>
          </xdr:nvSpPr>
          <xdr:spPr>
            <a:xfrm>
              <a:off x="2551547" y="1108365"/>
              <a:ext cx="5934363" cy="1985818"/>
            </a:xfrm>
            <a:prstGeom prst="roundRect">
              <a:avLst>
                <a:gd name="adj" fmla="val 736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C̳álculos!F29">
          <xdr:nvSpPr>
            <xdr:cNvPr id="10" name="Retângulo Arredondado 9">
              <a:extLst>
                <a:ext uri="{FF2B5EF4-FFF2-40B4-BE49-F238E27FC236}">
                  <a16:creationId xmlns:a16="http://schemas.microsoft.com/office/drawing/2014/main" id="{DDBF9A5A-98CB-B246-9301-1AFC9BB03672}"/>
                </a:ext>
              </a:extLst>
            </xdr:cNvPr>
            <xdr:cNvSpPr/>
          </xdr:nvSpPr>
          <xdr:spPr>
            <a:xfrm>
              <a:off x="4398818" y="1685637"/>
              <a:ext cx="3394364" cy="1027545"/>
            </a:xfrm>
            <a:prstGeom prst="roundRect">
              <a:avLst>
                <a:gd name="adj" fmla="val 1078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FEE400F4-1C53-8A4D-A92D-ED0AC6E2EDD4}" type="TxLink">
                <a:rPr lang="en-US" sz="4000" b="0" i="0" u="none" strike="noStrike">
                  <a:solidFill>
                    <a:srgbClr val="22C55E"/>
                  </a:solidFill>
                  <a:latin typeface="Aptos Narrow"/>
                  <a:ea typeface="Segoe UI Symbol" panose="020B0502040204020203" pitchFamily="34" charset="0"/>
                </a:rPr>
                <a:pPr algn="ctr"/>
                <a:t> R$600,00 </a:t>
              </a:fld>
              <a:endParaRPr lang="en-US" sz="4400">
                <a:solidFill>
                  <a:srgbClr val="22C55E"/>
                </a:solidFill>
                <a:latin typeface="Segoe UI Symbol" panose="020B0502040204020203" pitchFamily="34" charset="0"/>
                <a:ea typeface="Segoe UI Symbol" panose="020B0502040204020203" pitchFamily="34" charset="0"/>
              </a:endParaRPr>
            </a:p>
          </xdr:txBody>
        </xdr:sp>
        <xdr:pic>
          <xdr:nvPicPr>
            <xdr:cNvPr id="12" name="Imagem 11">
              <a:extLst>
                <a:ext uri="{FF2B5EF4-FFF2-40B4-BE49-F238E27FC236}">
                  <a16:creationId xmlns:a16="http://schemas.microsoft.com/office/drawing/2014/main" id="{EC16FAF4-4FFD-C04E-9B2A-A768850988C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978728" y="1639452"/>
              <a:ext cx="1558636" cy="1465924"/>
            </a:xfrm>
            <a:prstGeom prst="rect">
              <a:avLst/>
            </a:prstGeom>
          </xdr:spPr>
        </xdr:pic>
      </xdr:grpSp>
      <xdr:sp macro="" textlink="">
        <xdr:nvSpPr>
          <xdr:cNvPr id="15" name="Retângulo com Canto Arredondado do Mesmo Lado 14">
            <a:extLst>
              <a:ext uri="{FF2B5EF4-FFF2-40B4-BE49-F238E27FC236}">
                <a16:creationId xmlns:a16="http://schemas.microsoft.com/office/drawing/2014/main" id="{D450206C-20E2-434B-9A2C-97AA0FA6A463}"/>
              </a:ext>
            </a:extLst>
          </xdr:cNvPr>
          <xdr:cNvSpPr/>
        </xdr:nvSpPr>
        <xdr:spPr>
          <a:xfrm>
            <a:off x="2539999" y="1108364"/>
            <a:ext cx="5957455" cy="588817"/>
          </a:xfrm>
          <a:prstGeom prst="round2SameRect">
            <a:avLst/>
          </a:prstGeom>
          <a:solidFill>
            <a:srgbClr val="107C1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0">
                <a:solidFill>
                  <a:schemeClr val="bg1"/>
                </a:solidFill>
              </a:rPr>
              <a:t>TOTAL SUBSCRIPTIONS EA PLAY SEASON PASS</a:t>
            </a:r>
          </a:p>
        </xdr:txBody>
      </xdr:sp>
    </xdr:grpSp>
    <xdr:clientData/>
  </xdr:twoCellAnchor>
  <xdr:twoCellAnchor editAs="absolute">
    <xdr:from>
      <xdr:col>5</xdr:col>
      <xdr:colOff>334817</xdr:colOff>
      <xdr:row>6</xdr:row>
      <xdr:rowOff>57728</xdr:rowOff>
    </xdr:from>
    <xdr:to>
      <xdr:col>15</xdr:col>
      <xdr:colOff>646545</xdr:colOff>
      <xdr:row>15</xdr:row>
      <xdr:rowOff>127000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80951645-721A-0748-84D7-79745A0B35FA}"/>
            </a:ext>
          </a:extLst>
        </xdr:cNvPr>
        <xdr:cNvGrpSpPr/>
      </xdr:nvGrpSpPr>
      <xdr:grpSpPr>
        <a:xfrm>
          <a:off x="8405090" y="1096819"/>
          <a:ext cx="5992091" cy="1985817"/>
          <a:chOff x="8855364" y="1154546"/>
          <a:chExt cx="5957455" cy="1985819"/>
        </a:xfrm>
      </xdr:grpSpPr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43B969B4-D72F-EA45-BEEB-04F1F09E5CA7}"/>
              </a:ext>
            </a:extLst>
          </xdr:cNvPr>
          <xdr:cNvGrpSpPr/>
        </xdr:nvGrpSpPr>
        <xdr:grpSpPr>
          <a:xfrm>
            <a:off x="8855364" y="1154546"/>
            <a:ext cx="5957455" cy="1985819"/>
            <a:chOff x="2539999" y="1108364"/>
            <a:chExt cx="5957455" cy="1985819"/>
          </a:xfrm>
        </xdr:grpSpPr>
        <xdr:grpSp>
          <xdr:nvGrpSpPr>
            <xdr:cNvPr id="30" name="Agrupar 29">
              <a:extLst>
                <a:ext uri="{FF2B5EF4-FFF2-40B4-BE49-F238E27FC236}">
                  <a16:creationId xmlns:a16="http://schemas.microsoft.com/office/drawing/2014/main" id="{5E6645DF-3FCA-7047-961E-637F1EC5F99D}"/>
                </a:ext>
              </a:extLst>
            </xdr:cNvPr>
            <xdr:cNvGrpSpPr/>
          </xdr:nvGrpSpPr>
          <xdr:grpSpPr>
            <a:xfrm>
              <a:off x="2551547" y="1108365"/>
              <a:ext cx="5934363" cy="1985818"/>
              <a:chOff x="2551547" y="1108365"/>
              <a:chExt cx="5934363" cy="1985818"/>
            </a:xfrm>
          </xdr:grpSpPr>
          <xdr:sp macro="" textlink="">
            <xdr:nvSpPr>
              <xdr:cNvPr id="32" name="Retângulo Arredondado 31">
                <a:extLst>
                  <a:ext uri="{FF2B5EF4-FFF2-40B4-BE49-F238E27FC236}">
                    <a16:creationId xmlns:a16="http://schemas.microsoft.com/office/drawing/2014/main" id="{9FFCFA57-B6CF-2B48-987B-FD97238B49C1}"/>
                  </a:ext>
                </a:extLst>
              </xdr:cNvPr>
              <xdr:cNvSpPr/>
            </xdr:nvSpPr>
            <xdr:spPr>
              <a:xfrm>
                <a:off x="2551547" y="1108365"/>
                <a:ext cx="5934363" cy="1985818"/>
              </a:xfrm>
              <a:prstGeom prst="roundRect">
                <a:avLst>
                  <a:gd name="adj" fmla="val 7365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pt-BR" sz="1100"/>
              </a:p>
            </xdr:txBody>
          </xdr:sp>
          <xdr:sp macro="" textlink="C̳álculos!F44">
            <xdr:nvSpPr>
              <xdr:cNvPr id="33" name="Retângulo Arredondado 32">
                <a:extLst>
                  <a:ext uri="{FF2B5EF4-FFF2-40B4-BE49-F238E27FC236}">
                    <a16:creationId xmlns:a16="http://schemas.microsoft.com/office/drawing/2014/main" id="{2AB84EAE-DE71-EC42-A18D-9B6BA94E1E01}"/>
                  </a:ext>
                </a:extLst>
              </xdr:cNvPr>
              <xdr:cNvSpPr/>
            </xdr:nvSpPr>
            <xdr:spPr>
              <a:xfrm>
                <a:off x="4398818" y="1685637"/>
                <a:ext cx="3394364" cy="1027545"/>
              </a:xfrm>
              <a:prstGeom prst="roundRect">
                <a:avLst>
                  <a:gd name="adj" fmla="val 10785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b"/>
              <a:lstStyle/>
              <a:p>
                <a:pPr algn="ctr"/>
                <a:fld id="{5CF4C938-1516-D94F-A776-09ED3482AB99}" type="TxLink">
                  <a:rPr lang="en-US" sz="4000" b="0" i="0" u="none" strike="noStrike">
                    <a:solidFill>
                      <a:srgbClr val="22C55E"/>
                    </a:solidFill>
                    <a:latin typeface="Aptos Narrow"/>
                    <a:ea typeface="Segoe UI Symbol" panose="020B0502040204020203" pitchFamily="34" charset="0"/>
                  </a:rPr>
                  <a:pPr algn="ctr"/>
                  <a:t> R$940,00 </a:t>
                </a:fld>
                <a:endParaRPr lang="en-US">
                  <a:solidFill>
                    <a:srgbClr val="22C55E"/>
                  </a:solidFill>
                  <a:ea typeface="Segoe UI Symbol" panose="020B0502040204020203" pitchFamily="34" charset="0"/>
                </a:endParaRPr>
              </a:p>
            </xdr:txBody>
          </xdr:sp>
        </xdr:grpSp>
        <xdr:sp macro="" textlink="">
          <xdr:nvSpPr>
            <xdr:cNvPr id="31" name="Retângulo com Canto Arredondado do Mesmo Lado 30">
              <a:extLst>
                <a:ext uri="{FF2B5EF4-FFF2-40B4-BE49-F238E27FC236}">
                  <a16:creationId xmlns:a16="http://schemas.microsoft.com/office/drawing/2014/main" id="{1C0E7F34-B7F6-3746-ADA8-697591EB4301}"/>
                </a:ext>
              </a:extLst>
            </xdr:cNvPr>
            <xdr:cNvSpPr/>
          </xdr:nvSpPr>
          <xdr:spPr>
            <a:xfrm>
              <a:off x="2539999" y="1108364"/>
              <a:ext cx="5957455" cy="588817"/>
            </a:xfrm>
            <a:prstGeom prst="round2SameRect">
              <a:avLst/>
            </a:prstGeom>
            <a:solidFill>
              <a:srgbClr val="107C1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0">
                  <a:solidFill>
                    <a:schemeClr val="bg1"/>
                  </a:solidFill>
                </a:rPr>
                <a:t>TOTAL SUBSCRIPTIONS MINECRAFT SEASON PASS</a:t>
              </a:r>
            </a:p>
          </xdr:txBody>
        </xdr:sp>
      </xdr:grpSp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41BCCA38-AC88-7C4D-940B-B3D34F21239C}"/>
              </a:ext>
            </a:extLst>
          </xdr:cNvPr>
          <xdr:cNvGrpSpPr/>
        </xdr:nvGrpSpPr>
        <xdr:grpSpPr>
          <a:xfrm>
            <a:off x="9328728" y="2008911"/>
            <a:ext cx="1547091" cy="715818"/>
            <a:chOff x="3495675" y="5400674"/>
            <a:chExt cx="1549476" cy="752476"/>
          </a:xfrm>
        </xdr:grpSpPr>
        <xdr:pic>
          <xdr:nvPicPr>
            <xdr:cNvPr id="35" name="Imagem 34">
              <a:extLst>
                <a:ext uri="{FF2B5EF4-FFF2-40B4-BE49-F238E27FC236}">
                  <a16:creationId xmlns:a16="http://schemas.microsoft.com/office/drawing/2014/main" id="{BE3F591E-836D-394D-9419-3B3B30983CE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6" name="Gráfico 35">
              <a:extLst>
                <a:ext uri="{FF2B5EF4-FFF2-40B4-BE49-F238E27FC236}">
                  <a16:creationId xmlns:a16="http://schemas.microsoft.com/office/drawing/2014/main" id="{C8146E7B-A3E6-AB4E-BE68-2F7411E4D28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184727</xdr:colOff>
      <xdr:row>17</xdr:row>
      <xdr:rowOff>34636</xdr:rowOff>
    </xdr:from>
    <xdr:to>
      <xdr:col>16</xdr:col>
      <xdr:colOff>11545</xdr:colOff>
      <xdr:row>38</xdr:row>
      <xdr:rowOff>36853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3B10DF5B-48DC-9945-A34B-926235B018FA}"/>
            </a:ext>
          </a:extLst>
        </xdr:cNvPr>
        <xdr:cNvGrpSpPr/>
      </xdr:nvGrpSpPr>
      <xdr:grpSpPr>
        <a:xfrm>
          <a:off x="2320636" y="3382818"/>
          <a:ext cx="12111182" cy="4123944"/>
          <a:chOff x="2320636" y="3382818"/>
          <a:chExt cx="12111182" cy="4121728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2911F142-72CA-F343-B44B-2DD7B4BAA7AD}"/>
              </a:ext>
            </a:extLst>
          </xdr:cNvPr>
          <xdr:cNvGrpSpPr/>
        </xdr:nvGrpSpPr>
        <xdr:grpSpPr>
          <a:xfrm>
            <a:off x="2333336" y="3430155"/>
            <a:ext cx="12075391" cy="4074391"/>
            <a:chOff x="2349500" y="3365500"/>
            <a:chExt cx="5943600" cy="2880591"/>
          </a:xfrm>
        </xdr:grpSpPr>
        <xdr:sp macro="" textlink="">
          <xdr:nvSpPr>
            <xdr:cNvPr id="5" name="Retângulo Arredondado 4">
              <a:extLst>
                <a:ext uri="{FF2B5EF4-FFF2-40B4-BE49-F238E27FC236}">
                  <a16:creationId xmlns:a16="http://schemas.microsoft.com/office/drawing/2014/main" id="{EC93081F-6B87-B24C-BBE0-4ECC7F47EBBE}"/>
                </a:ext>
              </a:extLst>
            </xdr:cNvPr>
            <xdr:cNvSpPr/>
          </xdr:nvSpPr>
          <xdr:spPr>
            <a:xfrm>
              <a:off x="2349500" y="3365500"/>
              <a:ext cx="5943600" cy="2565400"/>
            </a:xfrm>
            <a:prstGeom prst="roundRect">
              <a:avLst>
                <a:gd name="adj" fmla="val 775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7EC44C13-D249-6648-B149-A892EBDC7A3E}"/>
                </a:ext>
              </a:extLst>
            </xdr:cNvPr>
            <xdr:cNvGraphicFramePr>
              <a:graphicFrameLocks/>
            </xdr:cNvGraphicFramePr>
          </xdr:nvGraphicFramePr>
          <xdr:xfrm>
            <a:off x="2446279" y="3723839"/>
            <a:ext cx="5743743" cy="252225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37" name="Retângulo com Canto Arredondado do Mesmo Lado 36">
            <a:extLst>
              <a:ext uri="{FF2B5EF4-FFF2-40B4-BE49-F238E27FC236}">
                <a16:creationId xmlns:a16="http://schemas.microsoft.com/office/drawing/2014/main" id="{06BF64A7-9623-E342-ADFF-80CF09CEC038}"/>
              </a:ext>
            </a:extLst>
          </xdr:cNvPr>
          <xdr:cNvSpPr/>
        </xdr:nvSpPr>
        <xdr:spPr>
          <a:xfrm>
            <a:off x="2320636" y="3382818"/>
            <a:ext cx="12111182" cy="623454"/>
          </a:xfrm>
          <a:prstGeom prst="round2SameRect">
            <a:avLst>
              <a:gd name="adj1" fmla="val 44118"/>
              <a:gd name="adj2" fmla="val 0"/>
            </a:avLst>
          </a:prstGeom>
          <a:solidFill>
            <a:srgbClr val="107C1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0">
                <a:solidFill>
                  <a:schemeClr val="bg1"/>
                </a:solidFill>
              </a:rPr>
              <a:t>TOTAL SUBSCRIPTIONS XBOX GAMEPASS</a:t>
            </a:r>
            <a:endParaRPr lang="pt-BR" sz="1600" b="0">
              <a:solidFill>
                <a:schemeClr val="bg1"/>
              </a:solidFill>
            </a:endParaRPr>
          </a:p>
        </xdr:txBody>
      </xdr:sp>
    </xdr:grpSp>
    <xdr:clientData/>
  </xdr:twoCellAnchor>
  <xdr:twoCellAnchor editAs="oneCell">
    <xdr:from>
      <xdr:col>15</xdr:col>
      <xdr:colOff>46183</xdr:colOff>
      <xdr:row>0</xdr:row>
      <xdr:rowOff>34637</xdr:rowOff>
    </xdr:from>
    <xdr:to>
      <xdr:col>15</xdr:col>
      <xdr:colOff>646545</xdr:colOff>
      <xdr:row>2</xdr:row>
      <xdr:rowOff>80817</xdr:rowOff>
    </xdr:to>
    <xdr:pic>
      <xdr:nvPicPr>
        <xdr:cNvPr id="38" name="Imagem 37" descr="CMintS | Quick start">
          <a:extLst>
            <a:ext uri="{FF2B5EF4-FFF2-40B4-BE49-F238E27FC236}">
              <a16:creationId xmlns:a16="http://schemas.microsoft.com/office/drawing/2014/main" id="{CB6AD5D4-F423-B143-88DE-381B7455C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13796819" y="34637"/>
          <a:ext cx="600362" cy="600362"/>
        </a:xfrm>
        <a:prstGeom prst="rect">
          <a:avLst/>
        </a:prstGeom>
      </xdr:spPr>
    </xdr:pic>
    <xdr:clientData/>
  </xdr:twoCellAnchor>
  <xdr:twoCellAnchor editAs="absolute">
    <xdr:from>
      <xdr:col>2</xdr:col>
      <xdr:colOff>1223818</xdr:colOff>
      <xdr:row>15</xdr:row>
      <xdr:rowOff>150091</xdr:rowOff>
    </xdr:from>
    <xdr:to>
      <xdr:col>11</xdr:col>
      <xdr:colOff>427182</xdr:colOff>
      <xdr:row>17</xdr:row>
      <xdr:rowOff>34636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6A0476EE-AED2-984C-83DC-5066FA950188}"/>
            </a:ext>
          </a:extLst>
        </xdr:cNvPr>
        <xdr:cNvSpPr txBox="1"/>
      </xdr:nvSpPr>
      <xdr:spPr>
        <a:xfrm>
          <a:off x="3625273" y="3105727"/>
          <a:ext cx="8890000" cy="277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</a:rPr>
            <a:t>Calculation Period: 01/01/2024 - 31/12/2024 | Last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Update: 01/12/2025 10:00:00</a:t>
          </a:r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428339</xdr:colOff>
      <xdr:row>0</xdr:row>
      <xdr:rowOff>0</xdr:rowOff>
    </xdr:from>
    <xdr:to>
      <xdr:col>0</xdr:col>
      <xdr:colOff>1731819</xdr:colOff>
      <xdr:row>7</xdr:row>
      <xdr:rowOff>149029</xdr:rowOff>
    </xdr:to>
    <xdr:pic>
      <xdr:nvPicPr>
        <xdr:cNvPr id="39" name="Imagem 38" descr="Xbox Photo Transparent HQ PNG Download | FreePNGimg">
          <a:extLst>
            <a:ext uri="{FF2B5EF4-FFF2-40B4-BE49-F238E27FC236}">
              <a16:creationId xmlns:a16="http://schemas.microsoft.com/office/drawing/2014/main" id="{F46D55EF-081A-5942-A989-FA1526257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428339" y="0"/>
          <a:ext cx="1303480" cy="1303574"/>
        </a:xfrm>
        <a:prstGeom prst="rect">
          <a:avLst/>
        </a:prstGeom>
      </xdr:spPr>
    </xdr:pic>
    <xdr:clientData/>
  </xdr:twoCellAnchor>
  <xdr:twoCellAnchor editAs="absolute">
    <xdr:from>
      <xdr:col>2</xdr:col>
      <xdr:colOff>2923115</xdr:colOff>
      <xdr:row>146</xdr:row>
      <xdr:rowOff>63090</xdr:rowOff>
    </xdr:from>
    <xdr:to>
      <xdr:col>2</xdr:col>
      <xdr:colOff>3652769</xdr:colOff>
      <xdr:row>151</xdr:row>
      <xdr:rowOff>159714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7E910CA5-E959-9542-AC8F-F4C966EB1EE7}"/>
            </a:ext>
          </a:extLst>
        </xdr:cNvPr>
        <xdr:cNvSpPr txBox="1"/>
      </xdr:nvSpPr>
      <xdr:spPr>
        <a:xfrm>
          <a:off x="5324570" y="28730454"/>
          <a:ext cx="729654" cy="1077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900">
              <a:hlinkClick xmlns:r="http://schemas.openxmlformats.org/officeDocument/2006/relationships" r:id="rId9" tooltip="https://freepngimg.com/png/26854-xbox-photo"/>
            </a:rPr>
            <a:t>Esta Foto</a:t>
          </a:r>
          <a:r>
            <a:rPr lang="pt-BR" sz="900"/>
            <a:t> de Autor Desconhecido está licenciado em </a:t>
          </a:r>
          <a:r>
            <a:rPr lang="pt-BR" sz="900">
              <a:hlinkClick xmlns:r="http://schemas.openxmlformats.org/officeDocument/2006/relationships" r:id="rId10" tooltip="https://creativecommons.org/licenses/by-nc/3.0/"/>
            </a:rPr>
            <a:t>CC BY-NC</a:t>
          </a:r>
          <a:endParaRPr lang="pt-BR" sz="9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93.679293402776" createdVersion="6" refreshedVersion="6" minRefreshableVersion="3" recordCount="295" xr:uid="{38516660-68FF-B644-A814-E0DB60DACD1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 count="2">
        <n v="20"/>
        <n v="0"/>
      </sharedItems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4883992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x v="0"/>
    <n v="5"/>
    <x v="0"/>
  </r>
  <r>
    <n v="3232"/>
    <s v="Maria Oliveira"/>
    <x v="1"/>
    <d v="2024-01-15T00:00:00"/>
    <x v="1"/>
    <n v="5"/>
    <x v="1"/>
    <s v="No"/>
    <x v="1"/>
    <s v="No"/>
    <x v="1"/>
    <n v="0"/>
    <x v="1"/>
  </r>
  <r>
    <n v="3233"/>
    <s v="Lucas Fernandes"/>
    <x v="2"/>
    <d v="2024-02-10T00:00:00"/>
    <x v="0"/>
    <n v="10"/>
    <x v="2"/>
    <s v="No"/>
    <x v="1"/>
    <s v="Yes"/>
    <x v="0"/>
    <n v="10"/>
    <x v="2"/>
  </r>
  <r>
    <n v="3234"/>
    <s v="Ana Souza"/>
    <x v="0"/>
    <d v="2024-02-20T00:00:00"/>
    <x v="1"/>
    <n v="15"/>
    <x v="0"/>
    <s v="Yes"/>
    <x v="0"/>
    <s v="Yes"/>
    <x v="0"/>
    <n v="3"/>
    <x v="3"/>
  </r>
  <r>
    <n v="3235"/>
    <s v="Pedro Gonçalves"/>
    <x v="1"/>
    <d v="2024-03-05T00:00:00"/>
    <x v="0"/>
    <n v="5"/>
    <x v="0"/>
    <s v="No"/>
    <x v="1"/>
    <s v="No"/>
    <x v="1"/>
    <n v="1"/>
    <x v="4"/>
  </r>
  <r>
    <n v="3236"/>
    <s v="Felipe Costa"/>
    <x v="2"/>
    <d v="2024-03-02T00:00:00"/>
    <x v="1"/>
    <n v="10"/>
    <x v="0"/>
    <s v="No"/>
    <x v="1"/>
    <s v="Yes"/>
    <x v="0"/>
    <n v="2"/>
    <x v="5"/>
  </r>
  <r>
    <n v="3237"/>
    <s v="Camila Ribeiro"/>
    <x v="0"/>
    <d v="2024-03-03T00:00:00"/>
    <x v="0"/>
    <n v="15"/>
    <x v="2"/>
    <s v="Yes"/>
    <x v="0"/>
    <s v="Yes"/>
    <x v="0"/>
    <n v="10"/>
    <x v="6"/>
  </r>
  <r>
    <n v="3238"/>
    <s v="André Mendes"/>
    <x v="1"/>
    <d v="2024-03-04T00:00:00"/>
    <x v="0"/>
    <n v="5"/>
    <x v="1"/>
    <s v="No"/>
    <x v="1"/>
    <s v="No"/>
    <x v="1"/>
    <n v="0"/>
    <x v="1"/>
  </r>
  <r>
    <n v="3239"/>
    <s v="Sofia Almeida"/>
    <x v="0"/>
    <d v="2024-03-05T00:00:00"/>
    <x v="1"/>
    <n v="15"/>
    <x v="0"/>
    <s v="Yes"/>
    <x v="0"/>
    <s v="Yes"/>
    <x v="0"/>
    <n v="5"/>
    <x v="0"/>
  </r>
  <r>
    <n v="3240"/>
    <s v="Bruno Martins"/>
    <x v="2"/>
    <d v="2024-03-06T00:00:00"/>
    <x v="0"/>
    <n v="10"/>
    <x v="2"/>
    <s v="No"/>
    <x v="1"/>
    <s v="Yes"/>
    <x v="0"/>
    <n v="15"/>
    <x v="7"/>
  </r>
  <r>
    <n v="3241"/>
    <s v="Rita Castro"/>
    <x v="1"/>
    <d v="2024-03-07T00:00:00"/>
    <x v="1"/>
    <n v="5"/>
    <x v="0"/>
    <s v="No"/>
    <x v="1"/>
    <s v="No"/>
    <x v="1"/>
    <n v="1"/>
    <x v="4"/>
  </r>
  <r>
    <n v="3242"/>
    <s v="Marco Túlio"/>
    <x v="0"/>
    <d v="2024-03-08T00:00:00"/>
    <x v="0"/>
    <n v="15"/>
    <x v="1"/>
    <s v="Yes"/>
    <x v="0"/>
    <s v="Yes"/>
    <x v="0"/>
    <n v="20"/>
    <x v="8"/>
  </r>
  <r>
    <n v="3243"/>
    <s v="Lívia Silveira"/>
    <x v="2"/>
    <d v="2024-03-09T00:00:00"/>
    <x v="1"/>
    <n v="10"/>
    <x v="0"/>
    <s v="No"/>
    <x v="1"/>
    <s v="Yes"/>
    <x v="0"/>
    <n v="10"/>
    <x v="2"/>
  </r>
  <r>
    <n v="3244"/>
    <s v="Diogo Sousa"/>
    <x v="1"/>
    <d v="2024-03-10T00:00:00"/>
    <x v="0"/>
    <n v="5"/>
    <x v="2"/>
    <s v="No"/>
    <x v="1"/>
    <s v="No"/>
    <x v="1"/>
    <n v="0"/>
    <x v="1"/>
  </r>
  <r>
    <n v="3245"/>
    <s v="Fernanda Lima"/>
    <x v="0"/>
    <d v="2024-03-11T00:00:00"/>
    <x v="1"/>
    <n v="15"/>
    <x v="0"/>
    <s v="Yes"/>
    <x v="0"/>
    <s v="Yes"/>
    <x v="0"/>
    <n v="8"/>
    <x v="9"/>
  </r>
  <r>
    <n v="3246"/>
    <s v="Caio Pereira"/>
    <x v="2"/>
    <d v="2024-03-12T00:00:00"/>
    <x v="0"/>
    <n v="10"/>
    <x v="1"/>
    <s v="No"/>
    <x v="1"/>
    <s v="Yes"/>
    <x v="0"/>
    <n v="12"/>
    <x v="10"/>
  </r>
  <r>
    <n v="3247"/>
    <s v="Beatriz Gomes"/>
    <x v="1"/>
    <d v="2024-03-13T00:00:00"/>
    <x v="1"/>
    <n v="5"/>
    <x v="0"/>
    <s v="No"/>
    <x v="1"/>
    <s v="No"/>
    <x v="1"/>
    <n v="2"/>
    <x v="11"/>
  </r>
  <r>
    <n v="3248"/>
    <s v="Cesar Oliveira"/>
    <x v="0"/>
    <d v="2024-03-14T00:00:00"/>
    <x v="0"/>
    <n v="15"/>
    <x v="2"/>
    <s v="Yes"/>
    <x v="0"/>
    <s v="Yes"/>
    <x v="0"/>
    <n v="7"/>
    <x v="12"/>
  </r>
  <r>
    <n v="3249"/>
    <s v="Débora Machado"/>
    <x v="2"/>
    <d v="2024-03-15T00:00:00"/>
    <x v="1"/>
    <n v="10"/>
    <x v="0"/>
    <s v="No"/>
    <x v="1"/>
    <s v="Yes"/>
    <x v="0"/>
    <n v="5"/>
    <x v="13"/>
  </r>
  <r>
    <n v="3250"/>
    <s v="Eduardo Vargas"/>
    <x v="1"/>
    <d v="2024-03-16T00:00:00"/>
    <x v="0"/>
    <n v="5"/>
    <x v="1"/>
    <s v="No"/>
    <x v="1"/>
    <s v="No"/>
    <x v="1"/>
    <n v="0"/>
    <x v="1"/>
  </r>
  <r>
    <n v="3251"/>
    <s v="Gabriela Santos"/>
    <x v="0"/>
    <d v="2024-03-17T00:00:00"/>
    <x v="1"/>
    <n v="15"/>
    <x v="0"/>
    <s v="Yes"/>
    <x v="0"/>
    <s v="Yes"/>
    <x v="0"/>
    <n v="3"/>
    <x v="3"/>
  </r>
  <r>
    <n v="3252"/>
    <s v="Henrique Dias"/>
    <x v="2"/>
    <d v="2024-03-18T00:00:00"/>
    <x v="0"/>
    <n v="10"/>
    <x v="2"/>
    <s v="No"/>
    <x v="1"/>
    <s v="Yes"/>
    <x v="0"/>
    <n v="15"/>
    <x v="7"/>
  </r>
  <r>
    <n v="3253"/>
    <s v="Isabela Moreira"/>
    <x v="1"/>
    <d v="2024-03-19T00:00:00"/>
    <x v="1"/>
    <n v="5"/>
    <x v="0"/>
    <s v="No"/>
    <x v="1"/>
    <s v="No"/>
    <x v="1"/>
    <n v="1"/>
    <x v="4"/>
  </r>
  <r>
    <n v="3254"/>
    <s v="Joaquim Barbosa"/>
    <x v="0"/>
    <d v="2024-03-20T00:00:00"/>
    <x v="0"/>
    <n v="15"/>
    <x v="1"/>
    <s v="Yes"/>
    <x v="0"/>
    <s v="Yes"/>
    <x v="0"/>
    <n v="20"/>
    <x v="8"/>
  </r>
  <r>
    <n v="3255"/>
    <s v="Lara Rocha"/>
    <x v="2"/>
    <d v="2024-03-21T00:00:00"/>
    <x v="1"/>
    <n v="10"/>
    <x v="0"/>
    <s v="No"/>
    <x v="1"/>
    <s v="Yes"/>
    <x v="0"/>
    <n v="10"/>
    <x v="2"/>
  </r>
  <r>
    <n v="3256"/>
    <s v="Matheus Silva"/>
    <x v="1"/>
    <d v="2024-03-22T00:00:00"/>
    <x v="0"/>
    <n v="5"/>
    <x v="2"/>
    <s v="No"/>
    <x v="1"/>
    <s v="No"/>
    <x v="1"/>
    <n v="0"/>
    <x v="1"/>
  </r>
  <r>
    <n v="3257"/>
    <s v="Nicole Costa"/>
    <x v="0"/>
    <d v="2024-03-23T00:00:00"/>
    <x v="1"/>
    <n v="15"/>
    <x v="0"/>
    <s v="Yes"/>
    <x v="0"/>
    <s v="Yes"/>
    <x v="0"/>
    <n v="5"/>
    <x v="0"/>
  </r>
  <r>
    <n v="3258"/>
    <s v="Otávio Mendonça"/>
    <x v="2"/>
    <d v="2024-03-24T00:00:00"/>
    <x v="0"/>
    <n v="10"/>
    <x v="1"/>
    <s v="No"/>
    <x v="1"/>
    <s v="Yes"/>
    <x v="0"/>
    <n v="15"/>
    <x v="7"/>
  </r>
  <r>
    <n v="3259"/>
    <s v="Paula Ferreira"/>
    <x v="1"/>
    <d v="2024-03-25T00:00:00"/>
    <x v="1"/>
    <n v="5"/>
    <x v="0"/>
    <s v="No"/>
    <x v="1"/>
    <s v="No"/>
    <x v="1"/>
    <n v="1"/>
    <x v="4"/>
  </r>
  <r>
    <n v="3260"/>
    <s v="Raquel Alves"/>
    <x v="0"/>
    <d v="2024-03-26T00:00:00"/>
    <x v="0"/>
    <n v="15"/>
    <x v="2"/>
    <s v="Yes"/>
    <x v="0"/>
    <s v="Yes"/>
    <x v="0"/>
    <n v="7"/>
    <x v="12"/>
  </r>
  <r>
    <n v="3261"/>
    <s v="Samuel Pires"/>
    <x v="2"/>
    <d v="2024-03-27T00:00:00"/>
    <x v="1"/>
    <n v="10"/>
    <x v="0"/>
    <s v="No"/>
    <x v="1"/>
    <s v="Yes"/>
    <x v="0"/>
    <n v="10"/>
    <x v="2"/>
  </r>
  <r>
    <n v="3262"/>
    <s v="Tânia Barros"/>
    <x v="1"/>
    <d v="2024-03-28T00:00:00"/>
    <x v="0"/>
    <n v="5"/>
    <x v="1"/>
    <s v="No"/>
    <x v="1"/>
    <s v="No"/>
    <x v="1"/>
    <n v="0"/>
    <x v="1"/>
  </r>
  <r>
    <n v="3263"/>
    <s v="Vinicius Lima"/>
    <x v="0"/>
    <d v="2024-03-29T00:00:00"/>
    <x v="1"/>
    <n v="15"/>
    <x v="0"/>
    <s v="Yes"/>
    <x v="0"/>
    <s v="Yes"/>
    <x v="0"/>
    <n v="3"/>
    <x v="3"/>
  </r>
  <r>
    <n v="3264"/>
    <s v="Yasmin Teixeira"/>
    <x v="2"/>
    <d v="2024-03-30T00:00:00"/>
    <x v="0"/>
    <n v="10"/>
    <x v="2"/>
    <s v="No"/>
    <x v="1"/>
    <s v="Yes"/>
    <x v="0"/>
    <n v="15"/>
    <x v="7"/>
  </r>
  <r>
    <n v="3265"/>
    <s v="Zé Carlos"/>
    <x v="1"/>
    <d v="2024-03-31T00:00:00"/>
    <x v="1"/>
    <n v="5"/>
    <x v="0"/>
    <s v="No"/>
    <x v="1"/>
    <s v="No"/>
    <x v="1"/>
    <n v="1"/>
    <x v="4"/>
  </r>
  <r>
    <n v="3266"/>
    <s v="Amanda Nogueira"/>
    <x v="1"/>
    <d v="2024-04-01T00:00:00"/>
    <x v="0"/>
    <n v="5"/>
    <x v="0"/>
    <s v="No"/>
    <x v="1"/>
    <s v="No"/>
    <x v="1"/>
    <n v="0"/>
    <x v="1"/>
  </r>
  <r>
    <n v="3267"/>
    <s v="Bruno Cavalheiro"/>
    <x v="0"/>
    <d v="2024-04-02T00:00:00"/>
    <x v="1"/>
    <n v="15"/>
    <x v="2"/>
    <s v="Yes"/>
    <x v="0"/>
    <s v="Yes"/>
    <x v="0"/>
    <n v="7"/>
    <x v="12"/>
  </r>
  <r>
    <n v="3268"/>
    <s v="Carla Dias"/>
    <x v="2"/>
    <d v="2024-04-03T00:00:00"/>
    <x v="0"/>
    <n v="10"/>
    <x v="1"/>
    <s v="No"/>
    <x v="1"/>
    <s v="Yes"/>
    <x v="0"/>
    <n v="10"/>
    <x v="2"/>
  </r>
  <r>
    <n v="3269"/>
    <s v="Diego Fontes"/>
    <x v="1"/>
    <d v="2024-04-04T00:00:00"/>
    <x v="1"/>
    <n v="5"/>
    <x v="2"/>
    <s v="No"/>
    <x v="1"/>
    <s v="No"/>
    <x v="1"/>
    <n v="1"/>
    <x v="4"/>
  </r>
  <r>
    <n v="3270"/>
    <s v="Eunice Lima"/>
    <x v="0"/>
    <d v="2024-04-05T00:00:00"/>
    <x v="0"/>
    <n v="15"/>
    <x v="0"/>
    <s v="Yes"/>
    <x v="0"/>
    <s v="Yes"/>
    <x v="0"/>
    <n v="15"/>
    <x v="14"/>
  </r>
  <r>
    <n v="3271"/>
    <s v="Fábio Martins"/>
    <x v="2"/>
    <d v="2024-04-06T00:00:00"/>
    <x v="1"/>
    <n v="10"/>
    <x v="0"/>
    <s v="No"/>
    <x v="1"/>
    <s v="Yes"/>
    <x v="0"/>
    <n v="5"/>
    <x v="13"/>
  </r>
  <r>
    <n v="3272"/>
    <s v="Gisele Araújo"/>
    <x v="1"/>
    <d v="2024-04-07T00:00:00"/>
    <x v="0"/>
    <n v="5"/>
    <x v="1"/>
    <s v="No"/>
    <x v="1"/>
    <s v="No"/>
    <x v="1"/>
    <n v="0"/>
    <x v="1"/>
  </r>
  <r>
    <n v="3273"/>
    <s v="Hélio Castro"/>
    <x v="0"/>
    <d v="2024-04-08T00:00:00"/>
    <x v="1"/>
    <n v="15"/>
    <x v="2"/>
    <s v="Yes"/>
    <x v="0"/>
    <s v="Yes"/>
    <x v="0"/>
    <n v="20"/>
    <x v="8"/>
  </r>
  <r>
    <n v="3274"/>
    <s v="Ingrid Menezes"/>
    <x v="2"/>
    <d v="2024-04-09T00:00:00"/>
    <x v="0"/>
    <n v="10"/>
    <x v="2"/>
    <s v="No"/>
    <x v="1"/>
    <s v="Yes"/>
    <x v="0"/>
    <n v="12"/>
    <x v="10"/>
  </r>
  <r>
    <n v="3275"/>
    <s v="Jorge Baptista"/>
    <x v="1"/>
    <d v="2024-04-10T00:00:00"/>
    <x v="1"/>
    <n v="5"/>
    <x v="0"/>
    <s v="No"/>
    <x v="1"/>
    <s v="No"/>
    <x v="1"/>
    <n v="2"/>
    <x v="11"/>
  </r>
  <r>
    <n v="3276"/>
    <s v="Kléber Oliveira"/>
    <x v="0"/>
    <d v="2024-04-11T00:00:00"/>
    <x v="0"/>
    <n v="15"/>
    <x v="1"/>
    <s v="Yes"/>
    <x v="0"/>
    <s v="Yes"/>
    <x v="0"/>
    <n v="5"/>
    <x v="0"/>
  </r>
  <r>
    <n v="3277"/>
    <s v="Luciana Freitas"/>
    <x v="2"/>
    <d v="2024-04-12T00:00:00"/>
    <x v="1"/>
    <n v="10"/>
    <x v="0"/>
    <s v="No"/>
    <x v="1"/>
    <s v="Yes"/>
    <x v="0"/>
    <n v="10"/>
    <x v="2"/>
  </r>
  <r>
    <n v="3278"/>
    <s v="Márcia Eller"/>
    <x v="1"/>
    <d v="2024-04-13T00:00:00"/>
    <x v="0"/>
    <n v="5"/>
    <x v="2"/>
    <s v="No"/>
    <x v="1"/>
    <s v="No"/>
    <x v="1"/>
    <n v="0"/>
    <x v="1"/>
  </r>
  <r>
    <n v="3279"/>
    <s v="Nilo Peçanha"/>
    <x v="0"/>
    <d v="2024-04-14T00:00:00"/>
    <x v="1"/>
    <n v="15"/>
    <x v="0"/>
    <s v="Yes"/>
    <x v="0"/>
    <s v="Yes"/>
    <x v="0"/>
    <n v="3"/>
    <x v="3"/>
  </r>
  <r>
    <n v="3280"/>
    <s v="Oscar Neves"/>
    <x v="2"/>
    <d v="2024-04-15T00:00:00"/>
    <x v="0"/>
    <n v="10"/>
    <x v="1"/>
    <s v="No"/>
    <x v="1"/>
    <s v="Yes"/>
    <x v="0"/>
    <n v="15"/>
    <x v="7"/>
  </r>
  <r>
    <n v="3281"/>
    <s v="Patrícia Soares"/>
    <x v="1"/>
    <d v="2024-04-16T00:00:00"/>
    <x v="1"/>
    <n v="5"/>
    <x v="0"/>
    <s v="No"/>
    <x v="1"/>
    <s v="No"/>
    <x v="1"/>
    <n v="1"/>
    <x v="4"/>
  </r>
  <r>
    <n v="3282"/>
    <s v="Quirino Gonçalves"/>
    <x v="0"/>
    <d v="2024-04-17T00:00:00"/>
    <x v="0"/>
    <n v="15"/>
    <x v="2"/>
    <s v="Yes"/>
    <x v="0"/>
    <s v="Yes"/>
    <x v="0"/>
    <n v="7"/>
    <x v="12"/>
  </r>
  <r>
    <n v="3283"/>
    <s v="Raul Machado"/>
    <x v="2"/>
    <d v="2024-04-18T00:00:00"/>
    <x v="1"/>
    <n v="10"/>
    <x v="0"/>
    <s v="No"/>
    <x v="1"/>
    <s v="Yes"/>
    <x v="0"/>
    <n v="10"/>
    <x v="2"/>
  </r>
  <r>
    <n v="3284"/>
    <s v="Sônia Lobo"/>
    <x v="1"/>
    <d v="2024-04-19T00:00:00"/>
    <x v="0"/>
    <n v="5"/>
    <x v="1"/>
    <s v="No"/>
    <x v="1"/>
    <s v="No"/>
    <x v="1"/>
    <n v="0"/>
    <x v="1"/>
  </r>
  <r>
    <n v="3285"/>
    <s v="Tiago Ramos"/>
    <x v="0"/>
    <d v="2024-04-20T00:00:00"/>
    <x v="1"/>
    <n v="15"/>
    <x v="0"/>
    <s v="Yes"/>
    <x v="0"/>
    <s v="Yes"/>
    <x v="0"/>
    <n v="20"/>
    <x v="8"/>
  </r>
  <r>
    <n v="3286"/>
    <s v="Ugo Pires"/>
    <x v="2"/>
    <d v="2024-04-21T00:00:00"/>
    <x v="0"/>
    <n v="10"/>
    <x v="2"/>
    <s v="No"/>
    <x v="1"/>
    <s v="Yes"/>
    <x v="0"/>
    <n v="15"/>
    <x v="7"/>
  </r>
  <r>
    <n v="3287"/>
    <s v="Valéria Nobre"/>
    <x v="1"/>
    <d v="2024-04-22T00:00:00"/>
    <x v="1"/>
    <n v="5"/>
    <x v="0"/>
    <s v="No"/>
    <x v="1"/>
    <s v="No"/>
    <x v="1"/>
    <n v="1"/>
    <x v="4"/>
  </r>
  <r>
    <n v="3288"/>
    <s v="William Siqueira"/>
    <x v="0"/>
    <d v="2024-04-23T00:00:00"/>
    <x v="0"/>
    <n v="15"/>
    <x v="1"/>
    <s v="Yes"/>
    <x v="0"/>
    <s v="Yes"/>
    <x v="0"/>
    <n v="3"/>
    <x v="3"/>
  </r>
  <r>
    <n v="3289"/>
    <s v="Xuxa Meneghel"/>
    <x v="2"/>
    <d v="2024-04-24T00:00:00"/>
    <x v="1"/>
    <n v="10"/>
    <x v="0"/>
    <s v="No"/>
    <x v="1"/>
    <s v="Yes"/>
    <x v="0"/>
    <n v="10"/>
    <x v="2"/>
  </r>
  <r>
    <n v="3290"/>
    <s v="Yara Figueiredo"/>
    <x v="1"/>
    <d v="2024-04-25T00:00:00"/>
    <x v="0"/>
    <n v="5"/>
    <x v="2"/>
    <s v="No"/>
    <x v="1"/>
    <s v="No"/>
    <x v="1"/>
    <n v="0"/>
    <x v="1"/>
  </r>
  <r>
    <n v="3291"/>
    <s v="Zacarias Alves"/>
    <x v="0"/>
    <d v="2024-04-26T00:00:00"/>
    <x v="1"/>
    <n v="15"/>
    <x v="0"/>
    <s v="Yes"/>
    <x v="0"/>
    <s v="Yes"/>
    <x v="0"/>
    <n v="5"/>
    <x v="0"/>
  </r>
  <r>
    <n v="3292"/>
    <s v="Amanda Bynes"/>
    <x v="2"/>
    <d v="2024-04-27T00:00:00"/>
    <x v="0"/>
    <n v="10"/>
    <x v="1"/>
    <s v="No"/>
    <x v="1"/>
    <s v="Yes"/>
    <x v="0"/>
    <n v="15"/>
    <x v="7"/>
  </r>
  <r>
    <n v="3293"/>
    <s v="Bruno Mars"/>
    <x v="1"/>
    <d v="2024-04-28T00:00:00"/>
    <x v="1"/>
    <n v="5"/>
    <x v="0"/>
    <s v="No"/>
    <x v="1"/>
    <s v="No"/>
    <x v="1"/>
    <n v="1"/>
    <x v="4"/>
  </r>
  <r>
    <n v="3294"/>
    <s v="Carla Bruni"/>
    <x v="0"/>
    <d v="2024-04-29T00:00:00"/>
    <x v="0"/>
    <n v="15"/>
    <x v="2"/>
    <s v="Yes"/>
    <x v="0"/>
    <s v="Yes"/>
    <x v="0"/>
    <n v="20"/>
    <x v="8"/>
  </r>
  <r>
    <n v="3295"/>
    <s v="Diego Maradona"/>
    <x v="2"/>
    <d v="2024-04-30T00:00:00"/>
    <x v="1"/>
    <n v="10"/>
    <x v="0"/>
    <s v="No"/>
    <x v="1"/>
    <s v="Yes"/>
    <x v="0"/>
    <n v="5"/>
    <x v="13"/>
  </r>
  <r>
    <n v="3296"/>
    <s v="Estela Marques"/>
    <x v="1"/>
    <d v="2024-05-01T00:00:00"/>
    <x v="1"/>
    <n v="5"/>
    <x v="0"/>
    <s v="No"/>
    <x v="1"/>
    <s v="No"/>
    <x v="1"/>
    <n v="0"/>
    <x v="1"/>
  </r>
  <r>
    <n v="3297"/>
    <s v="Fábio Nobre"/>
    <x v="0"/>
    <d v="2024-05-02T00:00:00"/>
    <x v="0"/>
    <n v="15"/>
    <x v="2"/>
    <s v="Yes"/>
    <x v="0"/>
    <s v="Yes"/>
    <x v="0"/>
    <n v="7"/>
    <x v="12"/>
  </r>
  <r>
    <n v="3298"/>
    <s v="Gabriel Oliveira"/>
    <x v="2"/>
    <d v="2024-05-03T00:00:00"/>
    <x v="1"/>
    <n v="10"/>
    <x v="1"/>
    <s v="No"/>
    <x v="1"/>
    <s v="Yes"/>
    <x v="0"/>
    <n v="10"/>
    <x v="2"/>
  </r>
  <r>
    <n v="3299"/>
    <s v="Helena Santos"/>
    <x v="1"/>
    <d v="2024-05-04T00:00:00"/>
    <x v="0"/>
    <n v="5"/>
    <x v="2"/>
    <s v="No"/>
    <x v="1"/>
    <s v="No"/>
    <x v="1"/>
    <n v="1"/>
    <x v="4"/>
  </r>
  <r>
    <n v="3300"/>
    <s v="Ivan Carvalho"/>
    <x v="0"/>
    <d v="2024-05-05T00:00:00"/>
    <x v="1"/>
    <n v="15"/>
    <x v="0"/>
    <s v="Yes"/>
    <x v="0"/>
    <s v="Yes"/>
    <x v="0"/>
    <n v="15"/>
    <x v="14"/>
  </r>
  <r>
    <n v="3301"/>
    <s v="Júlia Ferreira"/>
    <x v="2"/>
    <d v="2024-05-06T00:00:00"/>
    <x v="0"/>
    <n v="10"/>
    <x v="0"/>
    <s v="No"/>
    <x v="1"/>
    <s v="Yes"/>
    <x v="0"/>
    <n v="5"/>
    <x v="13"/>
  </r>
  <r>
    <n v="3302"/>
    <s v="Karla Alves"/>
    <x v="1"/>
    <d v="2024-05-07T00:00:00"/>
    <x v="1"/>
    <n v="5"/>
    <x v="1"/>
    <s v="No"/>
    <x v="1"/>
    <s v="No"/>
    <x v="1"/>
    <n v="0"/>
    <x v="1"/>
  </r>
  <r>
    <n v="3303"/>
    <s v="Lucas Mendes"/>
    <x v="0"/>
    <d v="2024-05-08T00:00:00"/>
    <x v="0"/>
    <n v="15"/>
    <x v="2"/>
    <s v="Yes"/>
    <x v="0"/>
    <s v="Yes"/>
    <x v="0"/>
    <n v="20"/>
    <x v="8"/>
  </r>
  <r>
    <n v="3304"/>
    <s v="Mônica Gomes"/>
    <x v="2"/>
    <d v="2024-05-09T00:00:00"/>
    <x v="1"/>
    <n v="10"/>
    <x v="2"/>
    <s v="No"/>
    <x v="1"/>
    <s v="Yes"/>
    <x v="0"/>
    <n v="12"/>
    <x v="10"/>
  </r>
  <r>
    <n v="3305"/>
    <s v="Norberto Queiroz"/>
    <x v="1"/>
    <d v="2024-05-10T00:00:00"/>
    <x v="0"/>
    <n v="5"/>
    <x v="0"/>
    <s v="No"/>
    <x v="1"/>
    <s v="No"/>
    <x v="1"/>
    <n v="2"/>
    <x v="11"/>
  </r>
  <r>
    <n v="3306"/>
    <s v="Otávio Barros"/>
    <x v="0"/>
    <d v="2024-05-11T00:00:00"/>
    <x v="1"/>
    <n v="15"/>
    <x v="1"/>
    <s v="Yes"/>
    <x v="0"/>
    <s v="Yes"/>
    <x v="0"/>
    <n v="5"/>
    <x v="0"/>
  </r>
  <r>
    <n v="3307"/>
    <s v="Paula Vieira"/>
    <x v="2"/>
    <d v="2024-05-12T00:00:00"/>
    <x v="0"/>
    <n v="10"/>
    <x v="0"/>
    <s v="No"/>
    <x v="1"/>
    <s v="Yes"/>
    <x v="0"/>
    <n v="10"/>
    <x v="2"/>
  </r>
  <r>
    <n v="3308"/>
    <s v="Quentin Ramos"/>
    <x v="1"/>
    <d v="2024-05-13T00:00:00"/>
    <x v="1"/>
    <n v="5"/>
    <x v="2"/>
    <s v="No"/>
    <x v="1"/>
    <s v="No"/>
    <x v="1"/>
    <n v="0"/>
    <x v="1"/>
  </r>
  <r>
    <n v="3309"/>
    <s v="Raquel Novaes"/>
    <x v="0"/>
    <d v="2024-05-14T00:00:00"/>
    <x v="0"/>
    <n v="15"/>
    <x v="0"/>
    <s v="Yes"/>
    <x v="0"/>
    <s v="Yes"/>
    <x v="0"/>
    <n v="3"/>
    <x v="3"/>
  </r>
  <r>
    <n v="3310"/>
    <s v="Samantha Lopes"/>
    <x v="2"/>
    <d v="2024-05-15T00:00:00"/>
    <x v="1"/>
    <n v="10"/>
    <x v="1"/>
    <s v="No"/>
    <x v="1"/>
    <s v="Yes"/>
    <x v="0"/>
    <n v="15"/>
    <x v="7"/>
  </r>
  <r>
    <n v="3311"/>
    <s v="Tiago Martins"/>
    <x v="1"/>
    <d v="2024-05-16T00:00:00"/>
    <x v="0"/>
    <n v="5"/>
    <x v="0"/>
    <s v="No"/>
    <x v="1"/>
    <s v="No"/>
    <x v="1"/>
    <n v="1"/>
    <x v="4"/>
  </r>
  <r>
    <n v="3312"/>
    <s v="Ulysses Guimarães"/>
    <x v="0"/>
    <d v="2024-05-17T00:00:00"/>
    <x v="1"/>
    <n v="15"/>
    <x v="2"/>
    <s v="Yes"/>
    <x v="0"/>
    <s v="Yes"/>
    <x v="0"/>
    <n v="7"/>
    <x v="12"/>
  </r>
  <r>
    <n v="3313"/>
    <s v="Vanessa Silva"/>
    <x v="2"/>
    <d v="2024-05-18T00:00:00"/>
    <x v="0"/>
    <n v="10"/>
    <x v="0"/>
    <s v="No"/>
    <x v="1"/>
    <s v="Yes"/>
    <x v="0"/>
    <n v="10"/>
    <x v="2"/>
  </r>
  <r>
    <n v="3314"/>
    <s v="William Carneiro"/>
    <x v="1"/>
    <d v="2024-05-19T00:00:00"/>
    <x v="1"/>
    <n v="5"/>
    <x v="1"/>
    <s v="No"/>
    <x v="1"/>
    <s v="No"/>
    <x v="1"/>
    <n v="0"/>
    <x v="1"/>
  </r>
  <r>
    <n v="3315"/>
    <s v="Ximena Rocha"/>
    <x v="0"/>
    <d v="2024-05-20T00:00:00"/>
    <x v="0"/>
    <n v="15"/>
    <x v="0"/>
    <s v="Yes"/>
    <x v="0"/>
    <s v="Yes"/>
    <x v="0"/>
    <n v="20"/>
    <x v="8"/>
  </r>
  <r>
    <n v="3316"/>
    <s v="Yasmin Figueiredo"/>
    <x v="2"/>
    <d v="2024-05-21T00:00:00"/>
    <x v="1"/>
    <n v="10"/>
    <x v="2"/>
    <s v="No"/>
    <x v="1"/>
    <s v="Yes"/>
    <x v="0"/>
    <n v="15"/>
    <x v="7"/>
  </r>
  <r>
    <n v="3317"/>
    <s v="Zara Cunha"/>
    <x v="1"/>
    <d v="2024-05-22T00:00:00"/>
    <x v="0"/>
    <n v="5"/>
    <x v="0"/>
    <s v="No"/>
    <x v="1"/>
    <s v="No"/>
    <x v="1"/>
    <n v="1"/>
    <x v="4"/>
  </r>
  <r>
    <n v="3318"/>
    <s v="Alan Teixeira"/>
    <x v="0"/>
    <d v="2024-05-23T00:00:00"/>
    <x v="1"/>
    <n v="15"/>
    <x v="1"/>
    <s v="Yes"/>
    <x v="0"/>
    <s v="Yes"/>
    <x v="0"/>
    <n v="3"/>
    <x v="3"/>
  </r>
  <r>
    <n v="3319"/>
    <s v="Bárbara Oliveira"/>
    <x v="2"/>
    <d v="2024-05-24T00:00:00"/>
    <x v="0"/>
    <n v="10"/>
    <x v="0"/>
    <s v="No"/>
    <x v="1"/>
    <s v="Yes"/>
    <x v="0"/>
    <n v="10"/>
    <x v="2"/>
  </r>
  <r>
    <n v="3320"/>
    <s v="Carlos Junqueira"/>
    <x v="1"/>
    <d v="2024-05-25T00:00:00"/>
    <x v="1"/>
    <n v="5"/>
    <x v="2"/>
    <s v="No"/>
    <x v="1"/>
    <s v="No"/>
    <x v="1"/>
    <n v="0"/>
    <x v="1"/>
  </r>
  <r>
    <n v="3321"/>
    <s v="Daniela Moura"/>
    <x v="0"/>
    <d v="2024-05-26T00:00:00"/>
    <x v="0"/>
    <n v="15"/>
    <x v="0"/>
    <s v="Yes"/>
    <x v="0"/>
    <s v="Yes"/>
    <x v="0"/>
    <n v="5"/>
    <x v="0"/>
  </r>
  <r>
    <n v="3322"/>
    <s v="Eduardo Lima"/>
    <x v="2"/>
    <d v="2024-05-27T00:00:00"/>
    <x v="1"/>
    <n v="10"/>
    <x v="1"/>
    <s v="No"/>
    <x v="1"/>
    <s v="Yes"/>
    <x v="0"/>
    <n v="15"/>
    <x v="7"/>
  </r>
  <r>
    <n v="3323"/>
    <s v="Fabiana Araújo"/>
    <x v="1"/>
    <d v="2024-05-28T00:00:00"/>
    <x v="0"/>
    <n v="5"/>
    <x v="0"/>
    <s v="No"/>
    <x v="1"/>
    <s v="No"/>
    <x v="1"/>
    <n v="1"/>
    <x v="4"/>
  </r>
  <r>
    <n v="3324"/>
    <s v="Geraldo Ribeiro"/>
    <x v="0"/>
    <d v="2024-05-29T00:00:00"/>
    <x v="1"/>
    <n v="15"/>
    <x v="2"/>
    <s v="Yes"/>
    <x v="0"/>
    <s v="Yes"/>
    <x v="0"/>
    <n v="20"/>
    <x v="8"/>
  </r>
  <r>
    <n v="3325"/>
    <s v="Héctor Vargas"/>
    <x v="2"/>
    <d v="2024-05-30T00:00:00"/>
    <x v="0"/>
    <n v="10"/>
    <x v="2"/>
    <s v="No"/>
    <x v="1"/>
    <s v="Yes"/>
    <x v="0"/>
    <n v="15"/>
    <x v="7"/>
  </r>
  <r>
    <n v="3326"/>
    <s v="Isabela Fonseca"/>
    <x v="1"/>
    <d v="2024-05-31T00:00:00"/>
    <x v="1"/>
    <n v="5"/>
    <x v="1"/>
    <s v="No"/>
    <x v="1"/>
    <s v="No"/>
    <x v="1"/>
    <n v="0"/>
    <x v="1"/>
  </r>
  <r>
    <n v="3327"/>
    <s v="João Pedro Almeida"/>
    <x v="0"/>
    <d v="2024-06-01T00:00:00"/>
    <x v="0"/>
    <n v="15"/>
    <x v="0"/>
    <s v="Yes"/>
    <x v="0"/>
    <s v="Yes"/>
    <x v="0"/>
    <n v="7"/>
    <x v="12"/>
  </r>
  <r>
    <n v="3328"/>
    <s v="Klara Costa"/>
    <x v="2"/>
    <d v="2024-06-02T00:00:00"/>
    <x v="1"/>
    <n v="10"/>
    <x v="1"/>
    <s v="No"/>
    <x v="1"/>
    <s v="Yes"/>
    <x v="0"/>
    <n v="10"/>
    <x v="2"/>
  </r>
  <r>
    <n v="3329"/>
    <s v="Luciana Mendes"/>
    <x v="1"/>
    <d v="2024-06-03T00:00:00"/>
    <x v="0"/>
    <n v="5"/>
    <x v="2"/>
    <s v="No"/>
    <x v="1"/>
    <s v="No"/>
    <x v="1"/>
    <n v="1"/>
    <x v="4"/>
  </r>
  <r>
    <n v="3330"/>
    <s v="Marcelo Gouveia"/>
    <x v="0"/>
    <d v="2024-06-04T00:00:00"/>
    <x v="1"/>
    <n v="15"/>
    <x v="0"/>
    <s v="Yes"/>
    <x v="0"/>
    <s v="Yes"/>
    <x v="0"/>
    <n v="15"/>
    <x v="14"/>
  </r>
  <r>
    <n v="3331"/>
    <s v="Nívea Borges"/>
    <x v="2"/>
    <d v="2024-06-05T00:00:00"/>
    <x v="0"/>
    <n v="10"/>
    <x v="0"/>
    <s v="No"/>
    <x v="1"/>
    <s v="Yes"/>
    <x v="0"/>
    <n v="5"/>
    <x v="13"/>
  </r>
  <r>
    <n v="3332"/>
    <s v="Oscar Nogueira"/>
    <x v="1"/>
    <d v="2024-06-06T00:00:00"/>
    <x v="1"/>
    <n v="5"/>
    <x v="1"/>
    <s v="No"/>
    <x v="1"/>
    <s v="No"/>
    <x v="1"/>
    <n v="0"/>
    <x v="1"/>
  </r>
  <r>
    <n v="3333"/>
    <s v="Patrícia Alves"/>
    <x v="0"/>
    <d v="2024-06-07T00:00:00"/>
    <x v="0"/>
    <n v="15"/>
    <x v="2"/>
    <s v="Yes"/>
    <x v="0"/>
    <s v="Yes"/>
    <x v="0"/>
    <n v="20"/>
    <x v="8"/>
  </r>
  <r>
    <n v="3334"/>
    <s v="Rafaela Silva"/>
    <x v="2"/>
    <d v="2024-06-08T00:00:00"/>
    <x v="1"/>
    <n v="10"/>
    <x v="2"/>
    <s v="No"/>
    <x v="1"/>
    <s v="Yes"/>
    <x v="0"/>
    <n v="12"/>
    <x v="10"/>
  </r>
  <r>
    <n v="3335"/>
    <s v="Samantha Moraes"/>
    <x v="1"/>
    <d v="2024-06-09T00:00:00"/>
    <x v="0"/>
    <n v="5"/>
    <x v="0"/>
    <s v="No"/>
    <x v="1"/>
    <s v="No"/>
    <x v="1"/>
    <n v="2"/>
    <x v="11"/>
  </r>
  <r>
    <n v="3336"/>
    <s v="Tatiana Rocha"/>
    <x v="1"/>
    <d v="2024-06-10T00:00:00"/>
    <x v="0"/>
    <n v="5"/>
    <x v="0"/>
    <s v="No"/>
    <x v="1"/>
    <s v="No"/>
    <x v="1"/>
    <n v="0"/>
    <x v="1"/>
  </r>
  <r>
    <n v="3337"/>
    <s v="Ulisses Tavares"/>
    <x v="0"/>
    <d v="2024-06-11T00:00:00"/>
    <x v="1"/>
    <n v="15"/>
    <x v="2"/>
    <s v="Yes"/>
    <x v="0"/>
    <s v="Yes"/>
    <x v="0"/>
    <n v="7"/>
    <x v="12"/>
  </r>
  <r>
    <n v="3338"/>
    <s v="Víctor Lemos"/>
    <x v="2"/>
    <d v="2024-06-12T00:00:00"/>
    <x v="0"/>
    <n v="10"/>
    <x v="1"/>
    <s v="No"/>
    <x v="1"/>
    <s v="Yes"/>
    <x v="0"/>
    <n v="10"/>
    <x v="2"/>
  </r>
  <r>
    <n v="3339"/>
    <s v="Wilma Barros"/>
    <x v="1"/>
    <d v="2024-06-13T00:00:00"/>
    <x v="1"/>
    <n v="5"/>
    <x v="2"/>
    <s v="No"/>
    <x v="1"/>
    <s v="No"/>
    <x v="1"/>
    <n v="1"/>
    <x v="4"/>
  </r>
  <r>
    <n v="3340"/>
    <s v="Xavier Nascimento"/>
    <x v="0"/>
    <d v="2024-06-14T00:00:00"/>
    <x v="0"/>
    <n v="15"/>
    <x v="0"/>
    <s v="Yes"/>
    <x v="0"/>
    <s v="Yes"/>
    <x v="0"/>
    <n v="15"/>
    <x v="14"/>
  </r>
  <r>
    <n v="3341"/>
    <s v="Yago Pereira"/>
    <x v="2"/>
    <d v="2024-06-15T00:00:00"/>
    <x v="1"/>
    <n v="10"/>
    <x v="0"/>
    <s v="No"/>
    <x v="1"/>
    <s v="Yes"/>
    <x v="0"/>
    <n v="5"/>
    <x v="13"/>
  </r>
  <r>
    <n v="3342"/>
    <s v="Zilda Ferreira"/>
    <x v="1"/>
    <d v="2024-06-16T00:00:00"/>
    <x v="0"/>
    <n v="5"/>
    <x v="1"/>
    <s v="No"/>
    <x v="1"/>
    <s v="No"/>
    <x v="1"/>
    <n v="0"/>
    <x v="1"/>
  </r>
  <r>
    <n v="3343"/>
    <s v="Amanda Lopes"/>
    <x v="0"/>
    <d v="2024-06-17T00:00:00"/>
    <x v="1"/>
    <n v="15"/>
    <x v="2"/>
    <s v="Yes"/>
    <x v="0"/>
    <s v="Yes"/>
    <x v="0"/>
    <n v="20"/>
    <x v="8"/>
  </r>
  <r>
    <n v="3344"/>
    <s v="Bruno Miranda"/>
    <x v="2"/>
    <d v="2024-06-18T00:00:00"/>
    <x v="0"/>
    <n v="10"/>
    <x v="2"/>
    <s v="No"/>
    <x v="1"/>
    <s v="Yes"/>
    <x v="0"/>
    <n v="12"/>
    <x v="10"/>
  </r>
  <r>
    <n v="3345"/>
    <s v="Célia Torres"/>
    <x v="1"/>
    <d v="2024-06-19T00:00:00"/>
    <x v="1"/>
    <n v="5"/>
    <x v="0"/>
    <s v="No"/>
    <x v="1"/>
    <s v="No"/>
    <x v="1"/>
    <n v="2"/>
    <x v="11"/>
  </r>
  <r>
    <n v="3346"/>
    <s v="Diogo Souza"/>
    <x v="0"/>
    <d v="2024-06-20T00:00:00"/>
    <x v="0"/>
    <n v="15"/>
    <x v="1"/>
    <s v="Yes"/>
    <x v="0"/>
    <s v="Yes"/>
    <x v="0"/>
    <n v="5"/>
    <x v="0"/>
  </r>
  <r>
    <n v="3347"/>
    <s v="Elisa Castro"/>
    <x v="2"/>
    <d v="2024-06-21T00:00:00"/>
    <x v="1"/>
    <n v="10"/>
    <x v="0"/>
    <s v="No"/>
    <x v="1"/>
    <s v="Yes"/>
    <x v="0"/>
    <n v="10"/>
    <x v="2"/>
  </r>
  <r>
    <n v="3348"/>
    <s v="Fátima Lima"/>
    <x v="1"/>
    <d v="2024-06-22T00:00:00"/>
    <x v="0"/>
    <n v="5"/>
    <x v="2"/>
    <s v="No"/>
    <x v="1"/>
    <s v="No"/>
    <x v="1"/>
    <n v="0"/>
    <x v="1"/>
  </r>
  <r>
    <n v="3349"/>
    <s v="Geraldo Ribeiro"/>
    <x v="0"/>
    <d v="2024-06-23T00:00:00"/>
    <x v="1"/>
    <n v="15"/>
    <x v="0"/>
    <s v="Yes"/>
    <x v="0"/>
    <s v="Yes"/>
    <x v="0"/>
    <n v="3"/>
    <x v="3"/>
  </r>
  <r>
    <n v="3350"/>
    <s v="Hélio Martins"/>
    <x v="2"/>
    <d v="2024-06-24T00:00:00"/>
    <x v="0"/>
    <n v="10"/>
    <x v="1"/>
    <s v="No"/>
    <x v="1"/>
    <s v="Yes"/>
    <x v="0"/>
    <n v="15"/>
    <x v="7"/>
  </r>
  <r>
    <n v="3351"/>
    <s v="Íris Santos"/>
    <x v="1"/>
    <d v="2024-06-25T00:00:00"/>
    <x v="1"/>
    <n v="5"/>
    <x v="0"/>
    <s v="No"/>
    <x v="1"/>
    <s v="No"/>
    <x v="1"/>
    <n v="1"/>
    <x v="4"/>
  </r>
  <r>
    <n v="3352"/>
    <s v="João Marcelo"/>
    <x v="0"/>
    <d v="2024-06-26T00:00:00"/>
    <x v="0"/>
    <n v="15"/>
    <x v="2"/>
    <s v="Yes"/>
    <x v="0"/>
    <s v="Yes"/>
    <x v="0"/>
    <n v="7"/>
    <x v="12"/>
  </r>
  <r>
    <n v="3353"/>
    <s v="Larissa Gomes"/>
    <x v="2"/>
    <d v="2024-06-27T00:00:00"/>
    <x v="1"/>
    <n v="10"/>
    <x v="0"/>
    <s v="No"/>
    <x v="1"/>
    <s v="Yes"/>
    <x v="0"/>
    <n v="10"/>
    <x v="2"/>
  </r>
  <r>
    <n v="3354"/>
    <s v="Márcio Silva"/>
    <x v="1"/>
    <d v="2024-06-28T00:00:00"/>
    <x v="0"/>
    <n v="5"/>
    <x v="1"/>
    <s v="No"/>
    <x v="1"/>
    <s v="No"/>
    <x v="1"/>
    <n v="0"/>
    <x v="1"/>
  </r>
  <r>
    <n v="3355"/>
    <s v="Nadia Costa"/>
    <x v="0"/>
    <d v="2024-06-29T00:00:00"/>
    <x v="1"/>
    <n v="15"/>
    <x v="0"/>
    <s v="Yes"/>
    <x v="0"/>
    <s v="Yes"/>
    <x v="0"/>
    <n v="20"/>
    <x v="8"/>
  </r>
  <r>
    <n v="3356"/>
    <s v="Oscar Almeida"/>
    <x v="2"/>
    <d v="2024-06-30T00:00:00"/>
    <x v="0"/>
    <n v="10"/>
    <x v="2"/>
    <s v="No"/>
    <x v="1"/>
    <s v="Yes"/>
    <x v="0"/>
    <n v="15"/>
    <x v="7"/>
  </r>
  <r>
    <n v="3357"/>
    <s v="Patricia Soares"/>
    <x v="1"/>
    <d v="2024-07-01T00:00:00"/>
    <x v="1"/>
    <n v="5"/>
    <x v="0"/>
    <s v="No"/>
    <x v="1"/>
    <s v="No"/>
    <x v="1"/>
    <n v="1"/>
    <x v="4"/>
  </r>
  <r>
    <n v="3358"/>
    <s v="Quênia Barros"/>
    <x v="0"/>
    <d v="2024-07-02T00:00:00"/>
    <x v="0"/>
    <n v="15"/>
    <x v="1"/>
    <s v="Yes"/>
    <x v="0"/>
    <s v="Yes"/>
    <x v="0"/>
    <n v="3"/>
    <x v="3"/>
  </r>
  <r>
    <n v="3359"/>
    <s v="Rafael Torres"/>
    <x v="2"/>
    <d v="2024-07-03T00:00:00"/>
    <x v="1"/>
    <n v="10"/>
    <x v="0"/>
    <s v="No"/>
    <x v="1"/>
    <s v="Yes"/>
    <x v="0"/>
    <n v="10"/>
    <x v="2"/>
  </r>
  <r>
    <n v="3360"/>
    <s v="Silvia Nascimento"/>
    <x v="1"/>
    <d v="2024-07-04T00:00:00"/>
    <x v="0"/>
    <n v="5"/>
    <x v="2"/>
    <s v="No"/>
    <x v="1"/>
    <s v="No"/>
    <x v="1"/>
    <n v="0"/>
    <x v="1"/>
  </r>
  <r>
    <n v="3361"/>
    <s v="Tiago Mendes"/>
    <x v="0"/>
    <d v="2024-07-05T00:00:00"/>
    <x v="1"/>
    <n v="15"/>
    <x v="0"/>
    <s v="Yes"/>
    <x v="0"/>
    <s v="Yes"/>
    <x v="0"/>
    <n v="15"/>
    <x v="14"/>
  </r>
  <r>
    <n v="3362"/>
    <s v="Ursula Silva"/>
    <x v="2"/>
    <d v="2024-07-06T00:00:00"/>
    <x v="0"/>
    <n v="10"/>
    <x v="1"/>
    <s v="No"/>
    <x v="1"/>
    <s v="Yes"/>
    <x v="0"/>
    <n v="15"/>
    <x v="7"/>
  </r>
  <r>
    <n v="3363"/>
    <s v="Vanessa Moraes"/>
    <x v="1"/>
    <d v="2024-07-07T00:00:00"/>
    <x v="1"/>
    <n v="5"/>
    <x v="0"/>
    <s v="No"/>
    <x v="1"/>
    <s v="No"/>
    <x v="1"/>
    <n v="1"/>
    <x v="4"/>
  </r>
  <r>
    <n v="3364"/>
    <s v="Waldir Junior"/>
    <x v="0"/>
    <d v="2024-07-08T00:00:00"/>
    <x v="0"/>
    <n v="15"/>
    <x v="2"/>
    <s v="Yes"/>
    <x v="0"/>
    <s v="Yes"/>
    <x v="0"/>
    <n v="7"/>
    <x v="12"/>
  </r>
  <r>
    <n v="3365"/>
    <s v="Xavier Lopes"/>
    <x v="2"/>
    <d v="2024-07-09T00:00:00"/>
    <x v="1"/>
    <n v="10"/>
    <x v="0"/>
    <s v="No"/>
    <x v="1"/>
    <s v="Yes"/>
    <x v="0"/>
    <n v="10"/>
    <x v="2"/>
  </r>
  <r>
    <n v="3366"/>
    <s v="Yolanda Freitas"/>
    <x v="1"/>
    <d v="2024-07-10T00:00:00"/>
    <x v="0"/>
    <n v="5"/>
    <x v="0"/>
    <s v="No"/>
    <x v="1"/>
    <s v="No"/>
    <x v="1"/>
    <n v="0"/>
    <x v="1"/>
  </r>
  <r>
    <n v="3367"/>
    <s v="Zacarias Nunes"/>
    <x v="0"/>
    <d v="2024-07-11T00:00:00"/>
    <x v="1"/>
    <n v="15"/>
    <x v="2"/>
    <s v="Yes"/>
    <x v="0"/>
    <s v="Yes"/>
    <x v="0"/>
    <n v="7"/>
    <x v="12"/>
  </r>
  <r>
    <n v="3368"/>
    <s v="Ana Clara Barreto"/>
    <x v="2"/>
    <d v="2024-07-12T00:00:00"/>
    <x v="0"/>
    <n v="10"/>
    <x v="1"/>
    <s v="No"/>
    <x v="1"/>
    <s v="Yes"/>
    <x v="0"/>
    <n v="10"/>
    <x v="2"/>
  </r>
  <r>
    <n v="3369"/>
    <s v="Bruno Henrique"/>
    <x v="1"/>
    <d v="2024-07-13T00:00:00"/>
    <x v="1"/>
    <n v="5"/>
    <x v="2"/>
    <s v="No"/>
    <x v="1"/>
    <s v="No"/>
    <x v="1"/>
    <n v="1"/>
    <x v="4"/>
  </r>
  <r>
    <n v="3370"/>
    <s v="Carlos Eduardo"/>
    <x v="0"/>
    <d v="2024-07-14T00:00:00"/>
    <x v="0"/>
    <n v="15"/>
    <x v="0"/>
    <s v="Yes"/>
    <x v="0"/>
    <s v="Yes"/>
    <x v="0"/>
    <n v="15"/>
    <x v="14"/>
  </r>
  <r>
    <n v="3371"/>
    <s v="Débora Lima"/>
    <x v="2"/>
    <d v="2024-07-15T00:00:00"/>
    <x v="1"/>
    <n v="10"/>
    <x v="0"/>
    <s v="No"/>
    <x v="1"/>
    <s v="Yes"/>
    <x v="0"/>
    <n v="5"/>
    <x v="13"/>
  </r>
  <r>
    <n v="3372"/>
    <s v="Elisa Neves"/>
    <x v="1"/>
    <d v="2024-07-16T00:00:00"/>
    <x v="0"/>
    <n v="5"/>
    <x v="1"/>
    <s v="No"/>
    <x v="1"/>
    <s v="No"/>
    <x v="1"/>
    <n v="0"/>
    <x v="1"/>
  </r>
  <r>
    <n v="3373"/>
    <s v="Fabiano Gomes"/>
    <x v="0"/>
    <d v="2024-07-17T00:00:00"/>
    <x v="1"/>
    <n v="15"/>
    <x v="2"/>
    <s v="Yes"/>
    <x v="0"/>
    <s v="Yes"/>
    <x v="0"/>
    <n v="20"/>
    <x v="8"/>
  </r>
  <r>
    <n v="3374"/>
    <s v="Gisele Oliveira"/>
    <x v="2"/>
    <d v="2024-07-18T00:00:00"/>
    <x v="0"/>
    <n v="10"/>
    <x v="2"/>
    <s v="No"/>
    <x v="1"/>
    <s v="Yes"/>
    <x v="0"/>
    <n v="12"/>
    <x v="10"/>
  </r>
  <r>
    <n v="3375"/>
    <s v="Héctor Silva"/>
    <x v="1"/>
    <d v="2024-07-19T00:00:00"/>
    <x v="1"/>
    <n v="5"/>
    <x v="0"/>
    <s v="No"/>
    <x v="1"/>
    <s v="No"/>
    <x v="1"/>
    <n v="2"/>
    <x v="11"/>
  </r>
  <r>
    <n v="3376"/>
    <s v="Igor Martins"/>
    <x v="0"/>
    <d v="2024-07-20T00:00:00"/>
    <x v="0"/>
    <n v="15"/>
    <x v="1"/>
    <s v="Yes"/>
    <x v="0"/>
    <s v="Yes"/>
    <x v="0"/>
    <n v="5"/>
    <x v="0"/>
  </r>
  <r>
    <n v="3377"/>
    <s v="Joana Figueiredo"/>
    <x v="2"/>
    <d v="2024-07-21T00:00:00"/>
    <x v="1"/>
    <n v="10"/>
    <x v="0"/>
    <s v="No"/>
    <x v="1"/>
    <s v="Yes"/>
    <x v="0"/>
    <n v="10"/>
    <x v="2"/>
  </r>
  <r>
    <n v="3378"/>
    <s v="Kleber Machado"/>
    <x v="1"/>
    <d v="2024-07-22T00:00:00"/>
    <x v="0"/>
    <n v="5"/>
    <x v="2"/>
    <s v="No"/>
    <x v="1"/>
    <s v="No"/>
    <x v="1"/>
    <n v="0"/>
    <x v="1"/>
  </r>
  <r>
    <n v="3379"/>
    <s v="Luciana Santos"/>
    <x v="0"/>
    <d v="2024-07-23T00:00:00"/>
    <x v="1"/>
    <n v="15"/>
    <x v="0"/>
    <s v="Yes"/>
    <x v="0"/>
    <s v="Yes"/>
    <x v="0"/>
    <n v="3"/>
    <x v="3"/>
  </r>
  <r>
    <n v="3380"/>
    <s v="Marcos Teixeira"/>
    <x v="2"/>
    <d v="2024-07-24T00:00:00"/>
    <x v="0"/>
    <n v="10"/>
    <x v="1"/>
    <s v="No"/>
    <x v="1"/>
    <s v="Yes"/>
    <x v="0"/>
    <n v="15"/>
    <x v="7"/>
  </r>
  <r>
    <n v="3381"/>
    <s v="Natalia Costa"/>
    <x v="1"/>
    <d v="2024-07-25T00:00:00"/>
    <x v="1"/>
    <n v="5"/>
    <x v="0"/>
    <s v="No"/>
    <x v="1"/>
    <s v="No"/>
    <x v="1"/>
    <n v="1"/>
    <x v="4"/>
  </r>
  <r>
    <n v="3382"/>
    <s v="Oscar Ribeiro"/>
    <x v="0"/>
    <d v="2024-07-26T00:00:00"/>
    <x v="0"/>
    <n v="15"/>
    <x v="2"/>
    <s v="Yes"/>
    <x v="0"/>
    <s v="Yes"/>
    <x v="0"/>
    <n v="7"/>
    <x v="12"/>
  </r>
  <r>
    <n v="3383"/>
    <s v="Patricia Almeida"/>
    <x v="2"/>
    <d v="2024-07-27T00:00:00"/>
    <x v="1"/>
    <n v="10"/>
    <x v="0"/>
    <s v="No"/>
    <x v="1"/>
    <s v="Yes"/>
    <x v="0"/>
    <n v="10"/>
    <x v="2"/>
  </r>
  <r>
    <n v="3384"/>
    <s v="Quirino Junior"/>
    <x v="1"/>
    <d v="2024-07-28T00:00:00"/>
    <x v="0"/>
    <n v="5"/>
    <x v="1"/>
    <s v="No"/>
    <x v="1"/>
    <s v="No"/>
    <x v="1"/>
    <n v="0"/>
    <x v="1"/>
  </r>
  <r>
    <n v="3385"/>
    <s v="Renata Machado"/>
    <x v="0"/>
    <d v="2024-07-29T00:00:00"/>
    <x v="1"/>
    <n v="15"/>
    <x v="0"/>
    <s v="Yes"/>
    <x v="0"/>
    <s v="Yes"/>
    <x v="0"/>
    <n v="20"/>
    <x v="8"/>
  </r>
  <r>
    <n v="3386"/>
    <s v="Sônia Alves"/>
    <x v="2"/>
    <d v="2024-07-30T00:00:00"/>
    <x v="0"/>
    <n v="10"/>
    <x v="2"/>
    <s v="No"/>
    <x v="1"/>
    <s v="Yes"/>
    <x v="0"/>
    <n v="15"/>
    <x v="7"/>
  </r>
  <r>
    <n v="3387"/>
    <s v="Tiago Nunes"/>
    <x v="1"/>
    <d v="2024-07-31T00:00:00"/>
    <x v="1"/>
    <n v="5"/>
    <x v="0"/>
    <s v="No"/>
    <x v="1"/>
    <s v="No"/>
    <x v="1"/>
    <n v="1"/>
    <x v="4"/>
  </r>
  <r>
    <n v="3388"/>
    <s v="Ulysses Pereira"/>
    <x v="0"/>
    <d v="2024-08-01T00:00:00"/>
    <x v="0"/>
    <n v="15"/>
    <x v="1"/>
    <s v="Yes"/>
    <x v="0"/>
    <s v="Yes"/>
    <x v="0"/>
    <n v="3"/>
    <x v="3"/>
  </r>
  <r>
    <n v="3389"/>
    <s v="Vanessa Lima"/>
    <x v="2"/>
    <d v="2024-08-02T00:00:00"/>
    <x v="1"/>
    <n v="10"/>
    <x v="0"/>
    <s v="No"/>
    <x v="1"/>
    <s v="Yes"/>
    <x v="0"/>
    <n v="10"/>
    <x v="2"/>
  </r>
  <r>
    <n v="3390"/>
    <s v="Wagner Santos"/>
    <x v="1"/>
    <d v="2024-08-03T00:00:00"/>
    <x v="0"/>
    <n v="5"/>
    <x v="2"/>
    <s v="No"/>
    <x v="1"/>
    <s v="No"/>
    <x v="1"/>
    <n v="0"/>
    <x v="1"/>
  </r>
  <r>
    <n v="3391"/>
    <s v="Xuxa Meneghel"/>
    <x v="0"/>
    <d v="2024-08-04T00:00:00"/>
    <x v="1"/>
    <n v="15"/>
    <x v="0"/>
    <s v="Yes"/>
    <x v="0"/>
    <s v="Yes"/>
    <x v="0"/>
    <n v="15"/>
    <x v="14"/>
  </r>
  <r>
    <n v="3392"/>
    <s v="Yasmin Silva"/>
    <x v="2"/>
    <d v="2024-08-05T00:00:00"/>
    <x v="0"/>
    <n v="10"/>
    <x v="1"/>
    <s v="No"/>
    <x v="1"/>
    <s v="Yes"/>
    <x v="0"/>
    <n v="15"/>
    <x v="7"/>
  </r>
  <r>
    <n v="3393"/>
    <s v="Zacarias de Souza"/>
    <x v="1"/>
    <d v="2024-08-06T00:00:00"/>
    <x v="1"/>
    <n v="5"/>
    <x v="0"/>
    <s v="No"/>
    <x v="1"/>
    <s v="No"/>
    <x v="1"/>
    <n v="1"/>
    <x v="4"/>
  </r>
  <r>
    <n v="3394"/>
    <s v="André Lima"/>
    <x v="0"/>
    <d v="2024-08-07T00:00:00"/>
    <x v="0"/>
    <n v="15"/>
    <x v="2"/>
    <s v="Yes"/>
    <x v="0"/>
    <s v="Yes"/>
    <x v="0"/>
    <n v="7"/>
    <x v="12"/>
  </r>
  <r>
    <n v="3395"/>
    <s v="Bianca Freitas"/>
    <x v="2"/>
    <d v="2024-08-08T00:00:00"/>
    <x v="1"/>
    <n v="10"/>
    <x v="0"/>
    <s v="No"/>
    <x v="1"/>
    <s v="Yes"/>
    <x v="0"/>
    <n v="10"/>
    <x v="2"/>
  </r>
  <r>
    <n v="3396"/>
    <s v="Caio Mendes"/>
    <x v="1"/>
    <d v="2024-08-09T00:00:00"/>
    <x v="0"/>
    <n v="5"/>
    <x v="1"/>
    <s v="No"/>
    <x v="1"/>
    <s v="No"/>
    <x v="1"/>
    <n v="0"/>
    <x v="1"/>
  </r>
  <r>
    <n v="3397"/>
    <s v="Daniela Moura"/>
    <x v="0"/>
    <d v="2024-08-10T00:00:00"/>
    <x v="1"/>
    <n v="15"/>
    <x v="0"/>
    <s v="Yes"/>
    <x v="0"/>
    <s v="Yes"/>
    <x v="0"/>
    <n v="20"/>
    <x v="8"/>
  </r>
  <r>
    <n v="3398"/>
    <s v="Eduardo Costa"/>
    <x v="2"/>
    <d v="2024-08-11T00:00:00"/>
    <x v="0"/>
    <n v="10"/>
    <x v="2"/>
    <s v="No"/>
    <x v="1"/>
    <s v="Yes"/>
    <x v="0"/>
    <n v="15"/>
    <x v="7"/>
  </r>
  <r>
    <n v="3399"/>
    <s v="Fernanda Gomes"/>
    <x v="1"/>
    <d v="2024-08-12T00:00:00"/>
    <x v="1"/>
    <n v="5"/>
    <x v="0"/>
    <s v="No"/>
    <x v="1"/>
    <s v="No"/>
    <x v="1"/>
    <n v="1"/>
    <x v="4"/>
  </r>
  <r>
    <n v="3400"/>
    <s v="Guilherme Souza"/>
    <x v="0"/>
    <d v="2024-08-13T00:00:00"/>
    <x v="0"/>
    <n v="15"/>
    <x v="1"/>
    <s v="Yes"/>
    <x v="0"/>
    <s v="Yes"/>
    <x v="0"/>
    <n v="5"/>
    <x v="0"/>
  </r>
  <r>
    <n v="3401"/>
    <s v="Helena Ribeiro"/>
    <x v="2"/>
    <d v="2024-08-14T00:00:00"/>
    <x v="1"/>
    <n v="10"/>
    <x v="0"/>
    <s v="No"/>
    <x v="1"/>
    <s v="Yes"/>
    <x v="0"/>
    <n v="10"/>
    <x v="2"/>
  </r>
  <r>
    <n v="3402"/>
    <s v="Igor Santos"/>
    <x v="1"/>
    <d v="2024-08-15T00:00:00"/>
    <x v="0"/>
    <n v="5"/>
    <x v="2"/>
    <s v="No"/>
    <x v="1"/>
    <s v="No"/>
    <x v="1"/>
    <n v="0"/>
    <x v="1"/>
  </r>
  <r>
    <n v="3403"/>
    <s v="João Carvalho"/>
    <x v="0"/>
    <d v="2024-08-16T00:00:00"/>
    <x v="1"/>
    <n v="15"/>
    <x v="0"/>
    <s v="Yes"/>
    <x v="0"/>
    <s v="Yes"/>
    <x v="0"/>
    <n v="3"/>
    <x v="3"/>
  </r>
  <r>
    <n v="3404"/>
    <s v="Klara Fagundes"/>
    <x v="2"/>
    <d v="2024-08-17T00:00:00"/>
    <x v="0"/>
    <n v="10"/>
    <x v="1"/>
    <s v="No"/>
    <x v="1"/>
    <s v="Yes"/>
    <x v="0"/>
    <n v="15"/>
    <x v="7"/>
  </r>
  <r>
    <n v="3405"/>
    <s v="Lúcia Mendonça"/>
    <x v="1"/>
    <d v="2024-08-18T00:00:00"/>
    <x v="1"/>
    <n v="5"/>
    <x v="0"/>
    <s v="No"/>
    <x v="1"/>
    <s v="No"/>
    <x v="1"/>
    <n v="1"/>
    <x v="4"/>
  </r>
  <r>
    <n v="3406"/>
    <s v="Marcelo Novaes"/>
    <x v="1"/>
    <d v="2024-08-19T00:00:00"/>
    <x v="0"/>
    <n v="5"/>
    <x v="0"/>
    <s v="No"/>
    <x v="1"/>
    <s v="No"/>
    <x v="1"/>
    <n v="0"/>
    <x v="1"/>
  </r>
  <r>
    <n v="3407"/>
    <s v="Nina Pacheco"/>
    <x v="0"/>
    <d v="2024-08-20T00:00:00"/>
    <x v="1"/>
    <n v="15"/>
    <x v="2"/>
    <s v="Yes"/>
    <x v="0"/>
    <s v="Yes"/>
    <x v="0"/>
    <n v="7"/>
    <x v="12"/>
  </r>
  <r>
    <n v="3408"/>
    <s v="Olívia Rios"/>
    <x v="2"/>
    <d v="2024-08-21T00:00:00"/>
    <x v="0"/>
    <n v="10"/>
    <x v="1"/>
    <s v="No"/>
    <x v="1"/>
    <s v="Yes"/>
    <x v="0"/>
    <n v="10"/>
    <x v="2"/>
  </r>
  <r>
    <n v="3409"/>
    <s v="Paulo Quintana"/>
    <x v="1"/>
    <d v="2024-08-22T00:00:00"/>
    <x v="1"/>
    <n v="5"/>
    <x v="2"/>
    <s v="No"/>
    <x v="1"/>
    <s v="No"/>
    <x v="1"/>
    <n v="1"/>
    <x v="4"/>
  </r>
  <r>
    <n v="3410"/>
    <s v="Raquel Domingos"/>
    <x v="0"/>
    <d v="2024-08-23T00:00:00"/>
    <x v="0"/>
    <n v="15"/>
    <x v="0"/>
    <s v="Yes"/>
    <x v="0"/>
    <s v="Yes"/>
    <x v="0"/>
    <n v="15"/>
    <x v="14"/>
  </r>
  <r>
    <n v="3411"/>
    <s v="Samuel Viana"/>
    <x v="2"/>
    <d v="2024-08-24T00:00:00"/>
    <x v="1"/>
    <n v="10"/>
    <x v="0"/>
    <s v="No"/>
    <x v="1"/>
    <s v="Yes"/>
    <x v="0"/>
    <n v="5"/>
    <x v="13"/>
  </r>
  <r>
    <n v="3412"/>
    <s v="Tatiane Rocha"/>
    <x v="1"/>
    <d v="2024-08-25T00:00:00"/>
    <x v="0"/>
    <n v="5"/>
    <x v="1"/>
    <s v="No"/>
    <x v="1"/>
    <s v="No"/>
    <x v="1"/>
    <n v="0"/>
    <x v="1"/>
  </r>
  <r>
    <n v="3413"/>
    <s v="Ulysses Farias"/>
    <x v="0"/>
    <d v="2024-08-26T00:00:00"/>
    <x v="1"/>
    <n v="15"/>
    <x v="2"/>
    <s v="Yes"/>
    <x v="0"/>
    <s v="Yes"/>
    <x v="0"/>
    <n v="20"/>
    <x v="8"/>
  </r>
  <r>
    <n v="3414"/>
    <s v="Vanessa Moreira"/>
    <x v="2"/>
    <d v="2024-08-27T00:00:00"/>
    <x v="0"/>
    <n v="10"/>
    <x v="2"/>
    <s v="No"/>
    <x v="1"/>
    <s v="Yes"/>
    <x v="0"/>
    <n v="12"/>
    <x v="10"/>
  </r>
  <r>
    <n v="3415"/>
    <s v="William Carvalho"/>
    <x v="1"/>
    <d v="2024-08-28T00:00:00"/>
    <x v="1"/>
    <n v="5"/>
    <x v="0"/>
    <s v="No"/>
    <x v="1"/>
    <s v="No"/>
    <x v="1"/>
    <n v="2"/>
    <x v="11"/>
  </r>
  <r>
    <n v="3416"/>
    <s v="Ximena Barros"/>
    <x v="0"/>
    <d v="2024-08-29T00:00:00"/>
    <x v="0"/>
    <n v="15"/>
    <x v="1"/>
    <s v="Yes"/>
    <x v="0"/>
    <s v="Yes"/>
    <x v="0"/>
    <n v="5"/>
    <x v="0"/>
  </r>
  <r>
    <n v="3417"/>
    <s v="Yara Machado"/>
    <x v="2"/>
    <d v="2024-08-30T00:00:00"/>
    <x v="1"/>
    <n v="10"/>
    <x v="0"/>
    <s v="No"/>
    <x v="1"/>
    <s v="Yes"/>
    <x v="0"/>
    <n v="10"/>
    <x v="2"/>
  </r>
  <r>
    <n v="3418"/>
    <s v="Zacarias Costa"/>
    <x v="1"/>
    <d v="2024-08-31T00:00:00"/>
    <x v="0"/>
    <n v="5"/>
    <x v="2"/>
    <s v="No"/>
    <x v="1"/>
    <s v="No"/>
    <x v="1"/>
    <n v="0"/>
    <x v="1"/>
  </r>
  <r>
    <n v="3419"/>
    <s v="André Lopes"/>
    <x v="0"/>
    <d v="2024-09-01T00:00:00"/>
    <x v="1"/>
    <n v="15"/>
    <x v="0"/>
    <s v="Yes"/>
    <x v="0"/>
    <s v="Yes"/>
    <x v="0"/>
    <n v="3"/>
    <x v="3"/>
  </r>
  <r>
    <n v="3420"/>
    <s v="Beatriz Souza"/>
    <x v="2"/>
    <d v="2024-09-02T00:00:00"/>
    <x v="0"/>
    <n v="10"/>
    <x v="1"/>
    <s v="No"/>
    <x v="1"/>
    <s v="Yes"/>
    <x v="0"/>
    <n v="15"/>
    <x v="7"/>
  </r>
  <r>
    <n v="3421"/>
    <s v="Caio Pereira"/>
    <x v="1"/>
    <d v="2024-09-03T00:00:00"/>
    <x v="1"/>
    <n v="5"/>
    <x v="0"/>
    <s v="No"/>
    <x v="1"/>
    <s v="No"/>
    <x v="1"/>
    <n v="1"/>
    <x v="4"/>
  </r>
  <r>
    <n v="3422"/>
    <s v="Daniela Araújo"/>
    <x v="0"/>
    <d v="2024-09-04T00:00:00"/>
    <x v="0"/>
    <n v="15"/>
    <x v="2"/>
    <s v="Yes"/>
    <x v="0"/>
    <s v="Yes"/>
    <x v="0"/>
    <n v="7"/>
    <x v="12"/>
  </r>
  <r>
    <n v="3423"/>
    <s v="Eduardo Santos"/>
    <x v="2"/>
    <d v="2024-09-05T00:00:00"/>
    <x v="1"/>
    <n v="10"/>
    <x v="0"/>
    <s v="No"/>
    <x v="1"/>
    <s v="Yes"/>
    <x v="0"/>
    <n v="10"/>
    <x v="2"/>
  </r>
  <r>
    <n v="3424"/>
    <s v="Fernanda Lima"/>
    <x v="1"/>
    <d v="2024-09-06T00:00:00"/>
    <x v="0"/>
    <n v="5"/>
    <x v="1"/>
    <s v="No"/>
    <x v="1"/>
    <s v="No"/>
    <x v="1"/>
    <n v="0"/>
    <x v="1"/>
  </r>
  <r>
    <n v="3425"/>
    <s v="Gabriel Teixeira"/>
    <x v="0"/>
    <d v="2024-09-07T00:00:00"/>
    <x v="1"/>
    <n v="15"/>
    <x v="0"/>
    <s v="Yes"/>
    <x v="0"/>
    <s v="Yes"/>
    <x v="0"/>
    <n v="20"/>
    <x v="8"/>
  </r>
  <r>
    <n v="3426"/>
    <s v="Helena Ribeiro"/>
    <x v="2"/>
    <d v="2024-09-08T00:00:00"/>
    <x v="0"/>
    <n v="10"/>
    <x v="2"/>
    <s v="No"/>
    <x v="1"/>
    <s v="Yes"/>
    <x v="0"/>
    <n v="15"/>
    <x v="7"/>
  </r>
  <r>
    <n v="3427"/>
    <s v="Igor Mendes"/>
    <x v="1"/>
    <d v="2024-09-09T00:00:00"/>
    <x v="1"/>
    <n v="5"/>
    <x v="0"/>
    <s v="No"/>
    <x v="1"/>
    <s v="No"/>
    <x v="1"/>
    <n v="1"/>
    <x v="4"/>
  </r>
  <r>
    <n v="3428"/>
    <s v="Joana Silveira"/>
    <x v="0"/>
    <d v="2024-09-10T00:00:00"/>
    <x v="0"/>
    <n v="15"/>
    <x v="1"/>
    <s v="Yes"/>
    <x v="0"/>
    <s v="Yes"/>
    <x v="0"/>
    <n v="3"/>
    <x v="3"/>
  </r>
  <r>
    <n v="3429"/>
    <s v="Lucas Martins"/>
    <x v="2"/>
    <d v="2024-09-11T00:00:00"/>
    <x v="1"/>
    <n v="10"/>
    <x v="0"/>
    <s v="No"/>
    <x v="1"/>
    <s v="Yes"/>
    <x v="0"/>
    <n v="10"/>
    <x v="2"/>
  </r>
  <r>
    <n v="3430"/>
    <s v="Marcela Gouveia"/>
    <x v="1"/>
    <d v="2024-09-12T00:00:00"/>
    <x v="0"/>
    <n v="5"/>
    <x v="2"/>
    <s v="No"/>
    <x v="1"/>
    <s v="No"/>
    <x v="1"/>
    <n v="0"/>
    <x v="1"/>
  </r>
  <r>
    <n v="3431"/>
    <s v="Nicolas Borges"/>
    <x v="0"/>
    <d v="2024-09-13T00:00:00"/>
    <x v="1"/>
    <n v="15"/>
    <x v="0"/>
    <s v="Yes"/>
    <x v="0"/>
    <s v="Yes"/>
    <x v="0"/>
    <n v="15"/>
    <x v="14"/>
  </r>
  <r>
    <n v="3432"/>
    <s v="Olivia Freitas"/>
    <x v="2"/>
    <d v="2024-09-14T00:00:00"/>
    <x v="0"/>
    <n v="10"/>
    <x v="1"/>
    <s v="No"/>
    <x v="1"/>
    <s v="Yes"/>
    <x v="0"/>
    <n v="15"/>
    <x v="7"/>
  </r>
  <r>
    <n v="3433"/>
    <s v="Paulo Nogueira"/>
    <x v="1"/>
    <d v="2024-09-15T00:00:00"/>
    <x v="1"/>
    <n v="5"/>
    <x v="0"/>
    <s v="No"/>
    <x v="1"/>
    <s v="No"/>
    <x v="1"/>
    <n v="1"/>
    <x v="4"/>
  </r>
  <r>
    <n v="3434"/>
    <s v="Raquel Andrade"/>
    <x v="0"/>
    <d v="2024-09-16T00:00:00"/>
    <x v="0"/>
    <n v="15"/>
    <x v="2"/>
    <s v="Yes"/>
    <x v="0"/>
    <s v="Yes"/>
    <x v="0"/>
    <n v="7"/>
    <x v="12"/>
  </r>
  <r>
    <n v="3435"/>
    <s v="Sônia Carvalho"/>
    <x v="2"/>
    <d v="2024-09-17T00:00:00"/>
    <x v="1"/>
    <n v="10"/>
    <x v="0"/>
    <s v="No"/>
    <x v="1"/>
    <s v="Yes"/>
    <x v="0"/>
    <n v="10"/>
    <x v="2"/>
  </r>
  <r>
    <n v="3436"/>
    <s v="Tiago Rodrigues"/>
    <x v="1"/>
    <d v="2024-09-18T00:00:00"/>
    <x v="0"/>
    <n v="5"/>
    <x v="0"/>
    <s v="No"/>
    <x v="1"/>
    <s v="No"/>
    <x v="1"/>
    <n v="0"/>
    <x v="1"/>
  </r>
  <r>
    <n v="3437"/>
    <s v="Ursula Monteiro"/>
    <x v="0"/>
    <d v="2024-09-19T00:00:00"/>
    <x v="1"/>
    <n v="15"/>
    <x v="2"/>
    <s v="Yes"/>
    <x v="0"/>
    <s v="Yes"/>
    <x v="0"/>
    <n v="7"/>
    <x v="12"/>
  </r>
  <r>
    <n v="3438"/>
    <s v="Vanessa Pereira"/>
    <x v="2"/>
    <d v="2024-09-20T00:00:00"/>
    <x v="0"/>
    <n v="10"/>
    <x v="1"/>
    <s v="No"/>
    <x v="1"/>
    <s v="Yes"/>
    <x v="0"/>
    <n v="10"/>
    <x v="2"/>
  </r>
  <r>
    <n v="3439"/>
    <s v="Walter Silva"/>
    <x v="1"/>
    <d v="2024-09-21T00:00:00"/>
    <x v="1"/>
    <n v="5"/>
    <x v="2"/>
    <s v="No"/>
    <x v="1"/>
    <s v="No"/>
    <x v="1"/>
    <n v="1"/>
    <x v="4"/>
  </r>
  <r>
    <n v="3440"/>
    <s v="Xavier Almeida"/>
    <x v="0"/>
    <d v="2024-09-22T00:00:00"/>
    <x v="0"/>
    <n v="15"/>
    <x v="0"/>
    <s v="Yes"/>
    <x v="0"/>
    <s v="Yes"/>
    <x v="0"/>
    <n v="15"/>
    <x v="14"/>
  </r>
  <r>
    <n v="3441"/>
    <s v="Yasmine Correia"/>
    <x v="2"/>
    <d v="2024-09-23T00:00:00"/>
    <x v="1"/>
    <n v="10"/>
    <x v="0"/>
    <s v="No"/>
    <x v="1"/>
    <s v="Yes"/>
    <x v="0"/>
    <n v="5"/>
    <x v="13"/>
  </r>
  <r>
    <n v="3442"/>
    <s v="Zacarias Almeida"/>
    <x v="1"/>
    <d v="2024-09-24T00:00:00"/>
    <x v="0"/>
    <n v="5"/>
    <x v="1"/>
    <s v="No"/>
    <x v="1"/>
    <s v="No"/>
    <x v="1"/>
    <n v="0"/>
    <x v="1"/>
  </r>
  <r>
    <n v="3443"/>
    <s v="Amanda Costa"/>
    <x v="0"/>
    <d v="2024-09-25T00:00:00"/>
    <x v="1"/>
    <n v="15"/>
    <x v="2"/>
    <s v="Yes"/>
    <x v="0"/>
    <s v="Yes"/>
    <x v="0"/>
    <n v="20"/>
    <x v="8"/>
  </r>
  <r>
    <n v="3444"/>
    <s v="Bruno Ferreira"/>
    <x v="2"/>
    <d v="2024-09-26T00:00:00"/>
    <x v="0"/>
    <n v="10"/>
    <x v="2"/>
    <s v="No"/>
    <x v="1"/>
    <s v="Yes"/>
    <x v="0"/>
    <n v="12"/>
    <x v="10"/>
  </r>
  <r>
    <n v="3445"/>
    <s v="Carla Dias"/>
    <x v="1"/>
    <d v="2024-09-27T00:00:00"/>
    <x v="1"/>
    <n v="5"/>
    <x v="0"/>
    <s v="No"/>
    <x v="1"/>
    <s v="No"/>
    <x v="1"/>
    <n v="2"/>
    <x v="11"/>
  </r>
  <r>
    <n v="3446"/>
    <s v="Diogo Martins"/>
    <x v="0"/>
    <d v="2024-09-28T00:00:00"/>
    <x v="0"/>
    <n v="15"/>
    <x v="1"/>
    <s v="Yes"/>
    <x v="0"/>
    <s v="Yes"/>
    <x v="0"/>
    <n v="5"/>
    <x v="0"/>
  </r>
  <r>
    <n v="3447"/>
    <s v="Elisa Campos"/>
    <x v="2"/>
    <d v="2024-09-29T00:00:00"/>
    <x v="1"/>
    <n v="10"/>
    <x v="0"/>
    <s v="No"/>
    <x v="1"/>
    <s v="Yes"/>
    <x v="0"/>
    <n v="10"/>
    <x v="2"/>
  </r>
  <r>
    <n v="3448"/>
    <s v="Fabiana Lima"/>
    <x v="1"/>
    <d v="2024-09-30T00:00:00"/>
    <x v="0"/>
    <n v="5"/>
    <x v="2"/>
    <s v="No"/>
    <x v="1"/>
    <s v="No"/>
    <x v="1"/>
    <n v="0"/>
    <x v="1"/>
  </r>
  <r>
    <n v="3449"/>
    <s v="Gabriel Santos"/>
    <x v="0"/>
    <d v="2024-10-01T00:00:00"/>
    <x v="1"/>
    <n v="15"/>
    <x v="0"/>
    <s v="Yes"/>
    <x v="0"/>
    <s v="Yes"/>
    <x v="0"/>
    <n v="3"/>
    <x v="3"/>
  </r>
  <r>
    <n v="3450"/>
    <s v="Helena Ferreira"/>
    <x v="2"/>
    <d v="2024-10-02T00:00:00"/>
    <x v="0"/>
    <n v="10"/>
    <x v="1"/>
    <s v="No"/>
    <x v="1"/>
    <s v="Yes"/>
    <x v="0"/>
    <n v="15"/>
    <x v="7"/>
  </r>
  <r>
    <n v="3451"/>
    <s v="Ígor Nunes"/>
    <x v="1"/>
    <d v="2024-10-03T00:00:00"/>
    <x v="1"/>
    <n v="5"/>
    <x v="0"/>
    <s v="No"/>
    <x v="1"/>
    <s v="No"/>
    <x v="1"/>
    <n v="1"/>
    <x v="4"/>
  </r>
  <r>
    <n v="3452"/>
    <s v="Joana Silveira"/>
    <x v="0"/>
    <d v="2024-10-04T00:00:00"/>
    <x v="0"/>
    <n v="15"/>
    <x v="2"/>
    <s v="Yes"/>
    <x v="0"/>
    <s v="Yes"/>
    <x v="0"/>
    <n v="7"/>
    <x v="12"/>
  </r>
  <r>
    <n v="3453"/>
    <s v="Kléber Oliveira"/>
    <x v="2"/>
    <d v="2024-10-05T00:00:00"/>
    <x v="1"/>
    <n v="10"/>
    <x v="0"/>
    <s v="No"/>
    <x v="1"/>
    <s v="Yes"/>
    <x v="0"/>
    <n v="10"/>
    <x v="2"/>
  </r>
  <r>
    <n v="3454"/>
    <s v="Luciana Morais"/>
    <x v="1"/>
    <d v="2024-10-06T00:00:00"/>
    <x v="0"/>
    <n v="5"/>
    <x v="1"/>
    <s v="No"/>
    <x v="1"/>
    <s v="No"/>
    <x v="1"/>
    <n v="0"/>
    <x v="1"/>
  </r>
  <r>
    <n v="3455"/>
    <s v="Marcos Vinícius"/>
    <x v="0"/>
    <d v="2024-10-07T00:00:00"/>
    <x v="1"/>
    <n v="15"/>
    <x v="0"/>
    <s v="Yes"/>
    <x v="0"/>
    <s v="Yes"/>
    <x v="0"/>
    <n v="20"/>
    <x v="8"/>
  </r>
  <r>
    <n v="3456"/>
    <s v="Natália Barros"/>
    <x v="2"/>
    <d v="2024-10-08T00:00:00"/>
    <x v="0"/>
    <n v="10"/>
    <x v="2"/>
    <s v="No"/>
    <x v="1"/>
    <s v="Yes"/>
    <x v="0"/>
    <n v="15"/>
    <x v="7"/>
  </r>
  <r>
    <n v="3457"/>
    <s v="Oscar Sampaio"/>
    <x v="1"/>
    <d v="2024-10-09T00:00:00"/>
    <x v="1"/>
    <n v="5"/>
    <x v="0"/>
    <s v="No"/>
    <x v="1"/>
    <s v="No"/>
    <x v="1"/>
    <n v="1"/>
    <x v="4"/>
  </r>
  <r>
    <n v="3458"/>
    <s v="Patrícia Leite"/>
    <x v="0"/>
    <d v="2024-10-10T00:00:00"/>
    <x v="0"/>
    <n v="15"/>
    <x v="1"/>
    <s v="Yes"/>
    <x v="0"/>
    <s v="Yes"/>
    <x v="0"/>
    <n v="3"/>
    <x v="3"/>
  </r>
  <r>
    <n v="3459"/>
    <s v="Quênia Rocha"/>
    <x v="2"/>
    <d v="2024-10-11T00:00:00"/>
    <x v="1"/>
    <n v="10"/>
    <x v="0"/>
    <s v="No"/>
    <x v="1"/>
    <s v="Yes"/>
    <x v="0"/>
    <n v="10"/>
    <x v="2"/>
  </r>
  <r>
    <n v="3460"/>
    <s v="Rafael Torres"/>
    <x v="1"/>
    <d v="2024-10-12T00:00:00"/>
    <x v="0"/>
    <n v="5"/>
    <x v="2"/>
    <s v="No"/>
    <x v="1"/>
    <s v="No"/>
    <x v="1"/>
    <n v="0"/>
    <x v="1"/>
  </r>
  <r>
    <n v="3461"/>
    <s v="Sandra Gouveia"/>
    <x v="0"/>
    <d v="2024-10-13T00:00:00"/>
    <x v="1"/>
    <n v="15"/>
    <x v="0"/>
    <s v="Yes"/>
    <x v="0"/>
    <s v="Yes"/>
    <x v="0"/>
    <n v="15"/>
    <x v="14"/>
  </r>
  <r>
    <n v="3462"/>
    <s v="Tiago Lacerda"/>
    <x v="2"/>
    <d v="2024-10-14T00:00:00"/>
    <x v="0"/>
    <n v="10"/>
    <x v="1"/>
    <s v="No"/>
    <x v="1"/>
    <s v="Yes"/>
    <x v="0"/>
    <n v="15"/>
    <x v="7"/>
  </r>
  <r>
    <n v="3463"/>
    <s v="Ursula Fonseca"/>
    <x v="1"/>
    <d v="2024-10-15T00:00:00"/>
    <x v="1"/>
    <n v="5"/>
    <x v="0"/>
    <s v="No"/>
    <x v="1"/>
    <s v="No"/>
    <x v="1"/>
    <n v="1"/>
    <x v="4"/>
  </r>
  <r>
    <n v="3464"/>
    <s v="Vanessa Andrade"/>
    <x v="0"/>
    <d v="2024-10-16T00:00:00"/>
    <x v="0"/>
    <n v="15"/>
    <x v="2"/>
    <s v="Yes"/>
    <x v="0"/>
    <s v="Yes"/>
    <x v="0"/>
    <n v="7"/>
    <x v="12"/>
  </r>
  <r>
    <n v="3465"/>
    <s v="William Castro"/>
    <x v="2"/>
    <d v="2024-10-17T00:00:00"/>
    <x v="1"/>
    <n v="10"/>
    <x v="0"/>
    <s v="No"/>
    <x v="1"/>
    <s v="Yes"/>
    <x v="0"/>
    <n v="10"/>
    <x v="2"/>
  </r>
  <r>
    <n v="3466"/>
    <s v="Xavier Monteiro"/>
    <x v="1"/>
    <d v="2024-10-18T00:00:00"/>
    <x v="0"/>
    <n v="5"/>
    <x v="1"/>
    <s v="No"/>
    <x v="1"/>
    <s v="No"/>
    <x v="1"/>
    <n v="0"/>
    <x v="1"/>
  </r>
  <r>
    <n v="3467"/>
    <s v="Yasmin Figueira"/>
    <x v="0"/>
    <d v="2024-10-19T00:00:00"/>
    <x v="1"/>
    <n v="15"/>
    <x v="0"/>
    <s v="Yes"/>
    <x v="0"/>
    <s v="Yes"/>
    <x v="0"/>
    <n v="15"/>
    <x v="14"/>
  </r>
  <r>
    <n v="3468"/>
    <s v="Zacarias Mendonça"/>
    <x v="2"/>
    <d v="2024-10-20T00:00:00"/>
    <x v="0"/>
    <n v="10"/>
    <x v="2"/>
    <s v="No"/>
    <x v="1"/>
    <s v="Yes"/>
    <x v="0"/>
    <n v="12"/>
    <x v="10"/>
  </r>
  <r>
    <n v="3469"/>
    <s v="Amanda Menezes"/>
    <x v="1"/>
    <d v="2024-10-21T00:00:00"/>
    <x v="1"/>
    <n v="5"/>
    <x v="0"/>
    <s v="No"/>
    <x v="1"/>
    <s v="No"/>
    <x v="1"/>
    <n v="2"/>
    <x v="11"/>
  </r>
  <r>
    <n v="3470"/>
    <s v="Bruno Santos"/>
    <x v="0"/>
    <d v="2024-10-22T00:00:00"/>
    <x v="0"/>
    <n v="15"/>
    <x v="1"/>
    <s v="Yes"/>
    <x v="0"/>
    <s v="Yes"/>
    <x v="0"/>
    <n v="5"/>
    <x v="0"/>
  </r>
  <r>
    <n v="3471"/>
    <s v="Carla Ferreira"/>
    <x v="2"/>
    <d v="2024-10-23T00:00:00"/>
    <x v="1"/>
    <n v="10"/>
    <x v="0"/>
    <s v="No"/>
    <x v="1"/>
    <s v="Yes"/>
    <x v="0"/>
    <n v="10"/>
    <x v="2"/>
  </r>
  <r>
    <n v="3472"/>
    <s v="Diogo Alves"/>
    <x v="1"/>
    <d v="2024-10-24T00:00:00"/>
    <x v="0"/>
    <n v="5"/>
    <x v="2"/>
    <s v="No"/>
    <x v="1"/>
    <s v="No"/>
    <x v="1"/>
    <n v="0"/>
    <x v="1"/>
  </r>
  <r>
    <n v="3473"/>
    <s v="Elisa Neves"/>
    <x v="0"/>
    <d v="2024-10-25T00:00:00"/>
    <x v="1"/>
    <n v="15"/>
    <x v="0"/>
    <s v="Yes"/>
    <x v="0"/>
    <s v="Yes"/>
    <x v="0"/>
    <n v="3"/>
    <x v="3"/>
  </r>
  <r>
    <n v="3474"/>
    <s v="Fabiano Pires"/>
    <x v="2"/>
    <d v="2024-10-26T00:00:00"/>
    <x v="0"/>
    <n v="10"/>
    <x v="1"/>
    <s v="No"/>
    <x v="1"/>
    <s v="Yes"/>
    <x v="0"/>
    <n v="15"/>
    <x v="7"/>
  </r>
  <r>
    <n v="3475"/>
    <s v="Giovana Ribeiro"/>
    <x v="1"/>
    <d v="2024-10-27T00:00:00"/>
    <x v="1"/>
    <n v="5"/>
    <x v="0"/>
    <s v="No"/>
    <x v="1"/>
    <s v="No"/>
    <x v="1"/>
    <n v="1"/>
    <x v="4"/>
  </r>
  <r>
    <n v="3476"/>
    <s v="Hélio Costa"/>
    <x v="0"/>
    <d v="2024-10-28T00:00:00"/>
    <x v="0"/>
    <n v="15"/>
    <x v="2"/>
    <s v="Yes"/>
    <x v="0"/>
    <s v="Yes"/>
    <x v="0"/>
    <n v="7"/>
    <x v="12"/>
  </r>
  <r>
    <n v="3477"/>
    <s v="Íris Loureiro"/>
    <x v="2"/>
    <d v="2024-10-29T00:00:00"/>
    <x v="1"/>
    <n v="10"/>
    <x v="0"/>
    <s v="No"/>
    <x v="1"/>
    <s v="Yes"/>
    <x v="0"/>
    <n v="10"/>
    <x v="2"/>
  </r>
  <r>
    <n v="3478"/>
    <s v="João Pereira"/>
    <x v="1"/>
    <d v="2024-10-30T00:00:00"/>
    <x v="0"/>
    <n v="5"/>
    <x v="1"/>
    <s v="No"/>
    <x v="1"/>
    <s v="No"/>
    <x v="1"/>
    <n v="0"/>
    <x v="1"/>
  </r>
  <r>
    <n v="3479"/>
    <s v="Klara Silva"/>
    <x v="0"/>
    <d v="2024-10-31T00:00:00"/>
    <x v="1"/>
    <n v="15"/>
    <x v="0"/>
    <s v="Yes"/>
    <x v="0"/>
    <s v="Yes"/>
    <x v="0"/>
    <n v="20"/>
    <x v="8"/>
  </r>
  <r>
    <n v="3480"/>
    <s v="Luciana Barros"/>
    <x v="2"/>
    <d v="2024-11-01T00:00:00"/>
    <x v="0"/>
    <n v="10"/>
    <x v="2"/>
    <s v="No"/>
    <x v="1"/>
    <s v="Yes"/>
    <x v="0"/>
    <n v="15"/>
    <x v="7"/>
  </r>
  <r>
    <n v="3481"/>
    <s v="Marcos Gomes"/>
    <x v="1"/>
    <d v="2024-11-02T00:00:00"/>
    <x v="1"/>
    <n v="5"/>
    <x v="0"/>
    <s v="No"/>
    <x v="1"/>
    <s v="No"/>
    <x v="1"/>
    <n v="1"/>
    <x v="4"/>
  </r>
  <r>
    <n v="3482"/>
    <s v="Natália Soares"/>
    <x v="0"/>
    <d v="2024-11-03T00:00:00"/>
    <x v="0"/>
    <n v="15"/>
    <x v="1"/>
    <s v="Yes"/>
    <x v="0"/>
    <s v="Yes"/>
    <x v="0"/>
    <n v="3"/>
    <x v="3"/>
  </r>
  <r>
    <n v="3483"/>
    <s v="Oscar Machado"/>
    <x v="2"/>
    <d v="2024-11-04T00:00:00"/>
    <x v="1"/>
    <n v="10"/>
    <x v="0"/>
    <s v="No"/>
    <x v="1"/>
    <s v="Yes"/>
    <x v="0"/>
    <n v="10"/>
    <x v="2"/>
  </r>
  <r>
    <n v="3484"/>
    <s v="Patrícia Lima"/>
    <x v="1"/>
    <d v="2024-11-05T00:00:00"/>
    <x v="0"/>
    <n v="5"/>
    <x v="2"/>
    <s v="No"/>
    <x v="1"/>
    <s v="No"/>
    <x v="1"/>
    <n v="0"/>
    <x v="1"/>
  </r>
  <r>
    <n v="3485"/>
    <s v="Quirino Neto"/>
    <x v="0"/>
    <d v="2024-11-06T00:00:00"/>
    <x v="1"/>
    <n v="15"/>
    <x v="0"/>
    <s v="Yes"/>
    <x v="0"/>
    <s v="Yes"/>
    <x v="0"/>
    <n v="15"/>
    <x v="14"/>
  </r>
  <r>
    <n v="3486"/>
    <s v="Rafaela Souza"/>
    <x v="1"/>
    <d v="2024-11-07T00:00:00"/>
    <x v="0"/>
    <n v="5"/>
    <x v="0"/>
    <s v="No"/>
    <x v="1"/>
    <s v="No"/>
    <x v="1"/>
    <n v="0"/>
    <x v="1"/>
  </r>
  <r>
    <n v="3487"/>
    <s v="Sandro Almeida"/>
    <x v="0"/>
    <d v="2024-11-08T00:00:00"/>
    <x v="1"/>
    <n v="15"/>
    <x v="2"/>
    <s v="Yes"/>
    <x v="0"/>
    <s v="Yes"/>
    <x v="0"/>
    <n v="7"/>
    <x v="12"/>
  </r>
  <r>
    <n v="3488"/>
    <s v="Tânia Ribeiro"/>
    <x v="2"/>
    <d v="2024-11-09T00:00:00"/>
    <x v="0"/>
    <n v="10"/>
    <x v="1"/>
    <s v="No"/>
    <x v="1"/>
    <s v="Yes"/>
    <x v="0"/>
    <n v="10"/>
    <x v="2"/>
  </r>
  <r>
    <n v="3489"/>
    <s v="Ugo Dias"/>
    <x v="1"/>
    <d v="2024-11-10T00:00:00"/>
    <x v="1"/>
    <n v="5"/>
    <x v="2"/>
    <s v="No"/>
    <x v="1"/>
    <s v="No"/>
    <x v="1"/>
    <n v="1"/>
    <x v="4"/>
  </r>
  <r>
    <n v="3490"/>
    <s v="Valéria Lima"/>
    <x v="0"/>
    <d v="2024-11-11T00:00:00"/>
    <x v="0"/>
    <n v="15"/>
    <x v="0"/>
    <s v="Yes"/>
    <x v="0"/>
    <s v="Yes"/>
    <x v="0"/>
    <n v="15"/>
    <x v="14"/>
  </r>
  <r>
    <n v="3491"/>
    <s v="William Fernandes"/>
    <x v="2"/>
    <d v="2024-11-12T00:00:00"/>
    <x v="1"/>
    <n v="10"/>
    <x v="0"/>
    <s v="No"/>
    <x v="1"/>
    <s v="Yes"/>
    <x v="0"/>
    <n v="5"/>
    <x v="13"/>
  </r>
  <r>
    <n v="3492"/>
    <s v="Xuxa Mendes"/>
    <x v="1"/>
    <d v="2024-11-13T00:00:00"/>
    <x v="0"/>
    <n v="5"/>
    <x v="1"/>
    <s v="No"/>
    <x v="1"/>
    <s v="No"/>
    <x v="1"/>
    <n v="0"/>
    <x v="1"/>
  </r>
  <r>
    <n v="3493"/>
    <s v="Ygor Farias"/>
    <x v="0"/>
    <d v="2024-11-14T00:00:00"/>
    <x v="1"/>
    <n v="15"/>
    <x v="2"/>
    <s v="Yes"/>
    <x v="0"/>
    <s v="Yes"/>
    <x v="0"/>
    <n v="20"/>
    <x v="8"/>
  </r>
  <r>
    <n v="3494"/>
    <s v="Zilda Barros"/>
    <x v="2"/>
    <d v="2024-11-15T00:00:00"/>
    <x v="0"/>
    <n v="10"/>
    <x v="2"/>
    <s v="No"/>
    <x v="1"/>
    <s v="Yes"/>
    <x v="0"/>
    <n v="12"/>
    <x v="10"/>
  </r>
  <r>
    <n v="3495"/>
    <s v="Amanda Santos"/>
    <x v="1"/>
    <d v="2024-11-16T00:00:00"/>
    <x v="1"/>
    <n v="5"/>
    <x v="0"/>
    <s v="No"/>
    <x v="1"/>
    <s v="No"/>
    <x v="1"/>
    <n v="2"/>
    <x v="11"/>
  </r>
  <r>
    <n v="3496"/>
    <s v="Bruno Costa"/>
    <x v="0"/>
    <d v="2024-11-17T00:00:00"/>
    <x v="0"/>
    <n v="15"/>
    <x v="1"/>
    <s v="Yes"/>
    <x v="0"/>
    <s v="Yes"/>
    <x v="0"/>
    <n v="5"/>
    <x v="0"/>
  </r>
  <r>
    <n v="3497"/>
    <s v="Carla Rodrigues"/>
    <x v="2"/>
    <d v="2024-11-18T00:00:00"/>
    <x v="1"/>
    <n v="10"/>
    <x v="0"/>
    <s v="No"/>
    <x v="1"/>
    <s v="Yes"/>
    <x v="0"/>
    <n v="10"/>
    <x v="2"/>
  </r>
  <r>
    <n v="3498"/>
    <s v="Diogo Pereira"/>
    <x v="1"/>
    <d v="2024-11-19T00:00:00"/>
    <x v="0"/>
    <n v="5"/>
    <x v="2"/>
    <s v="No"/>
    <x v="1"/>
    <s v="No"/>
    <x v="1"/>
    <n v="0"/>
    <x v="1"/>
  </r>
  <r>
    <n v="3499"/>
    <s v="Elisa Correia"/>
    <x v="0"/>
    <d v="2024-11-20T00:00:00"/>
    <x v="1"/>
    <n v="15"/>
    <x v="0"/>
    <s v="Yes"/>
    <x v="0"/>
    <s v="Yes"/>
    <x v="0"/>
    <n v="3"/>
    <x v="3"/>
  </r>
  <r>
    <n v="3500"/>
    <s v="Fábio Lourenço"/>
    <x v="2"/>
    <d v="2024-11-21T00:00:00"/>
    <x v="0"/>
    <n v="10"/>
    <x v="1"/>
    <s v="No"/>
    <x v="1"/>
    <s v="Yes"/>
    <x v="0"/>
    <n v="15"/>
    <x v="7"/>
  </r>
  <r>
    <n v="3501"/>
    <s v="Gabriela Neves"/>
    <x v="1"/>
    <d v="2024-11-22T00:00:00"/>
    <x v="1"/>
    <n v="5"/>
    <x v="0"/>
    <s v="No"/>
    <x v="1"/>
    <s v="No"/>
    <x v="1"/>
    <n v="1"/>
    <x v="4"/>
  </r>
  <r>
    <n v="3502"/>
    <s v="Henrique Gonçalves"/>
    <x v="0"/>
    <d v="2024-11-23T00:00:00"/>
    <x v="0"/>
    <n v="15"/>
    <x v="2"/>
    <s v="Yes"/>
    <x v="0"/>
    <s v="Yes"/>
    <x v="0"/>
    <n v="7"/>
    <x v="12"/>
  </r>
  <r>
    <n v="3503"/>
    <s v="Íris Santos"/>
    <x v="2"/>
    <d v="2024-11-24T00:00:00"/>
    <x v="1"/>
    <n v="10"/>
    <x v="0"/>
    <s v="No"/>
    <x v="1"/>
    <s v="Yes"/>
    <x v="0"/>
    <n v="10"/>
    <x v="2"/>
  </r>
  <r>
    <n v="3504"/>
    <s v="João Marcelo Alves"/>
    <x v="1"/>
    <d v="2024-11-25T00:00:00"/>
    <x v="0"/>
    <n v="5"/>
    <x v="1"/>
    <s v="No"/>
    <x v="1"/>
    <s v="No"/>
    <x v="1"/>
    <n v="0"/>
    <x v="1"/>
  </r>
  <r>
    <n v="3505"/>
    <s v="Klara Fonseca"/>
    <x v="0"/>
    <d v="2024-11-26T00:00:00"/>
    <x v="1"/>
    <n v="15"/>
    <x v="0"/>
    <s v="Yes"/>
    <x v="0"/>
    <s v="Yes"/>
    <x v="0"/>
    <n v="20"/>
    <x v="8"/>
  </r>
  <r>
    <n v="3506"/>
    <s v="Lucas Mendonça"/>
    <x v="2"/>
    <d v="2024-11-27T00:00:00"/>
    <x v="0"/>
    <n v="10"/>
    <x v="2"/>
    <s v="No"/>
    <x v="1"/>
    <s v="Yes"/>
    <x v="0"/>
    <n v="15"/>
    <x v="7"/>
  </r>
  <r>
    <n v="3507"/>
    <s v="Marcela Torres"/>
    <x v="1"/>
    <d v="2024-11-28T00:00:00"/>
    <x v="1"/>
    <n v="5"/>
    <x v="0"/>
    <s v="No"/>
    <x v="1"/>
    <s v="No"/>
    <x v="1"/>
    <n v="1"/>
    <x v="4"/>
  </r>
  <r>
    <n v="3508"/>
    <s v="Natália Castro"/>
    <x v="0"/>
    <d v="2024-11-29T00:00:00"/>
    <x v="0"/>
    <n v="15"/>
    <x v="1"/>
    <s v="Yes"/>
    <x v="0"/>
    <s v="Yes"/>
    <x v="0"/>
    <n v="3"/>
    <x v="3"/>
  </r>
  <r>
    <n v="3509"/>
    <s v="Oscar Martins"/>
    <x v="2"/>
    <d v="2024-11-30T00:00:00"/>
    <x v="1"/>
    <n v="10"/>
    <x v="0"/>
    <s v="No"/>
    <x v="1"/>
    <s v="Yes"/>
    <x v="0"/>
    <n v="10"/>
    <x v="2"/>
  </r>
  <r>
    <n v="3510"/>
    <s v="Patrícia Oliveira"/>
    <x v="1"/>
    <d v="2024-12-01T00:00:00"/>
    <x v="0"/>
    <n v="5"/>
    <x v="2"/>
    <s v="No"/>
    <x v="1"/>
    <s v="No"/>
    <x v="1"/>
    <n v="0"/>
    <x v="1"/>
  </r>
  <r>
    <n v="3511"/>
    <s v="Quentin Nogueira"/>
    <x v="0"/>
    <d v="2024-12-02T00:00:00"/>
    <x v="1"/>
    <n v="15"/>
    <x v="0"/>
    <s v="Yes"/>
    <x v="0"/>
    <s v="Yes"/>
    <x v="0"/>
    <n v="15"/>
    <x v="14"/>
  </r>
  <r>
    <n v="3512"/>
    <s v="Raquel Silva"/>
    <x v="2"/>
    <d v="2024-12-03T00:00:00"/>
    <x v="0"/>
    <n v="10"/>
    <x v="1"/>
    <s v="No"/>
    <x v="1"/>
    <s v="Yes"/>
    <x v="0"/>
    <n v="15"/>
    <x v="7"/>
  </r>
  <r>
    <n v="3513"/>
    <s v="Sandro Gomes"/>
    <x v="1"/>
    <d v="2024-12-04T00:00:00"/>
    <x v="1"/>
    <n v="5"/>
    <x v="0"/>
    <s v="No"/>
    <x v="1"/>
    <s v="No"/>
    <x v="1"/>
    <n v="1"/>
    <x v="4"/>
  </r>
  <r>
    <n v="3514"/>
    <s v="Tânia Machado"/>
    <x v="0"/>
    <d v="2024-12-05T00:00:00"/>
    <x v="0"/>
    <n v="15"/>
    <x v="2"/>
    <s v="Yes"/>
    <x v="0"/>
    <s v="Yes"/>
    <x v="0"/>
    <n v="7"/>
    <x v="12"/>
  </r>
  <r>
    <n v="3515"/>
    <s v="Ursula Silva"/>
    <x v="2"/>
    <d v="2024-12-06T00:00:00"/>
    <x v="1"/>
    <n v="10"/>
    <x v="0"/>
    <s v="No"/>
    <x v="1"/>
    <s v="Yes"/>
    <x v="0"/>
    <n v="10"/>
    <x v="2"/>
  </r>
  <r>
    <n v="3516"/>
    <s v="Vanessa Moraes"/>
    <x v="1"/>
    <d v="2024-12-07T00:00:00"/>
    <x v="0"/>
    <n v="5"/>
    <x v="1"/>
    <s v="No"/>
    <x v="1"/>
    <s v="No"/>
    <x v="1"/>
    <n v="0"/>
    <x v="1"/>
  </r>
  <r>
    <n v="3517"/>
    <s v="William Carvalho"/>
    <x v="0"/>
    <d v="2024-12-08T00:00:00"/>
    <x v="1"/>
    <n v="15"/>
    <x v="0"/>
    <s v="Yes"/>
    <x v="0"/>
    <s v="Yes"/>
    <x v="0"/>
    <n v="20"/>
    <x v="8"/>
  </r>
  <r>
    <n v="3518"/>
    <s v="Xavier Reis"/>
    <x v="2"/>
    <d v="2024-12-09T00:00:00"/>
    <x v="0"/>
    <n v="10"/>
    <x v="2"/>
    <s v="No"/>
    <x v="1"/>
    <s v="Yes"/>
    <x v="0"/>
    <n v="12"/>
    <x v="10"/>
  </r>
  <r>
    <n v="3519"/>
    <s v="Yasmin Rocha"/>
    <x v="1"/>
    <d v="2024-12-10T00:00:00"/>
    <x v="1"/>
    <n v="5"/>
    <x v="0"/>
    <s v="No"/>
    <x v="1"/>
    <s v="No"/>
    <x v="1"/>
    <n v="2"/>
    <x v="11"/>
  </r>
  <r>
    <n v="3520"/>
    <s v="Zacarias Duarte"/>
    <x v="0"/>
    <d v="2024-12-11T00:00:00"/>
    <x v="0"/>
    <n v="15"/>
    <x v="1"/>
    <s v="Yes"/>
    <x v="0"/>
    <s v="Yes"/>
    <x v="0"/>
    <n v="5"/>
    <x v="0"/>
  </r>
  <r>
    <n v="3521"/>
    <s v="Amanda Freitas"/>
    <x v="2"/>
    <d v="2024-12-12T00:00:00"/>
    <x v="1"/>
    <n v="10"/>
    <x v="0"/>
    <s v="No"/>
    <x v="1"/>
    <s v="Yes"/>
    <x v="0"/>
    <n v="10"/>
    <x v="2"/>
  </r>
  <r>
    <n v="3522"/>
    <s v="Bruno Almeida"/>
    <x v="1"/>
    <d v="2024-12-13T00:00:00"/>
    <x v="0"/>
    <n v="5"/>
    <x v="2"/>
    <s v="No"/>
    <x v="1"/>
    <s v="No"/>
    <x v="1"/>
    <n v="0"/>
    <x v="1"/>
  </r>
  <r>
    <n v="3523"/>
    <s v="Carla Siqueira"/>
    <x v="0"/>
    <d v="2024-12-14T00:00:00"/>
    <x v="1"/>
    <n v="15"/>
    <x v="0"/>
    <s v="Yes"/>
    <x v="0"/>
    <s v="Yes"/>
    <x v="0"/>
    <n v="3"/>
    <x v="3"/>
  </r>
  <r>
    <n v="3524"/>
    <s v="Diogo Ramos"/>
    <x v="2"/>
    <d v="2024-12-15T00:00:00"/>
    <x v="0"/>
    <n v="10"/>
    <x v="1"/>
    <s v="No"/>
    <x v="1"/>
    <s v="Yes"/>
    <x v="0"/>
    <n v="15"/>
    <x v="7"/>
  </r>
  <r>
    <n v="3525"/>
    <s v="Elisa Magalhães"/>
    <x v="1"/>
    <d v="2024-12-16T00:00:00"/>
    <x v="1"/>
    <n v="5"/>
    <x v="0"/>
    <s v="No"/>
    <x v="1"/>
    <s v="No"/>
    <x v="1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2E89B-4C5E-D147-8CD0-D4805492FC2C}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B40:C4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>
      <items count="3">
        <item x="1"/>
        <item x="0"/>
        <item t="default"/>
      </items>
    </pivotField>
    <pivotField numFmtId="164" showAll="0"/>
    <pivotField numFmtId="16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6">
    <format dxfId="43">
      <pivotArea outline="0" collapsedLevelsAreSubtotals="1" fieldPosition="0"/>
    </format>
    <format dxfId="42">
      <pivotArea outline="0" collapsedLevelsAreSubtotals="1" fieldPosition="0"/>
    </format>
    <format dxfId="41">
      <pivotArea outline="0" collapsedLevelsAreSubtotals="1" fieldPosition="0"/>
    </format>
    <format dxfId="40">
      <pivotArea outline="0" collapsedLevelsAreSubtotals="1" fieldPosition="0"/>
    </format>
    <format dxfId="39">
      <pivotArea outline="0" collapsedLevelsAreSubtotals="1" fieldPosition="0"/>
    </format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66858-0AF9-664B-960A-0C00519771AF}" name="tbl_easeasonpass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B25:C29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_x000a_Price" fld="8" baseField="0" baseItem="0"/>
  </dataFields>
  <formats count="6">
    <format dxfId="49">
      <pivotArea outline="0" collapsedLevelsAreSubtotals="1" fieldPosition="0"/>
    </format>
    <format dxfId="48">
      <pivotArea outline="0" collapsedLevelsAreSubtotals="1" fieldPosition="0"/>
    </format>
    <format dxfId="47">
      <pivotArea outline="0" collapsedLevelsAreSubtotals="1" fieldPosition="0"/>
    </format>
    <format dxfId="46">
      <pivotArea outline="0" collapsedLevelsAreSubtotals="1" fieldPosition="0"/>
    </format>
    <format dxfId="45">
      <pivotArea outline="0" collapsedLevelsAreSubtotals="1" fieldPosition="0"/>
    </format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FD1DB-AE99-E043-BE33-97ACC05DDC20}" name="tbl_annual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9:C12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5"/>
  </dataFields>
  <formats count="6"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outline="0" collapsedLevelsAreSubtotals="1" fieldPosition="0"/>
    </format>
    <format dxfId="52">
      <pivotArea outline="0" collapsedLevelsAreSubtotals="1" fieldPosition="0"/>
    </format>
    <format dxfId="51">
      <pivotArea outline="0" collapsedLevelsAreSubtotals="1" fieldPosition="0"/>
    </format>
    <format dxfId="50">
      <pivotArea outline="0" collapsedLevelsAreSubtotals="1" fieldPosition="0"/>
    </format>
  </formats>
  <chartFormats count="4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114D1A4-C357-9F4F-A4C9-657CC5E5BBEB}" sourceName="Subscription Type">
  <pivotTables>
    <pivotTable tabId="3" name="tbl_annual_total"/>
    <pivotTable tabId="3" name="tbl_easeasonpass_total"/>
    <pivotTable tabId="3" name="Tabela dinâmica3"/>
  </pivotTables>
  <data>
    <tabular pivotCacheId="48839921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2" xr10:uid="{46AD0D92-AB19-1340-AC64-A6A1C5E02FAC}" cache="SegmentaçãodeDados_Subscription_Type" caption="Subscription Type" style="SlicerStyleLight6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69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68"/>
    <tableColumn id="2" xr3:uid="{53DD39D0-2220-4121-9E9D-4EAA7E151C0F}" name="Name" dataDxfId="67"/>
    <tableColumn id="3" xr3:uid="{4F5FF271-4C57-4BE0-8F2C-F82C8551625C}" name="Plan" dataDxfId="66"/>
    <tableColumn id="4" xr3:uid="{8C17EB93-79B9-4E55-B8F7-BEB82F8253E9}" name="Start Date" dataDxfId="65"/>
    <tableColumn id="5" xr3:uid="{48CEDF9B-1689-482A-A828-5CCE7713264A}" name="Auto Renewal" dataDxfId="64"/>
    <tableColumn id="6" xr3:uid="{78B82374-9AA7-4E38-AE4F-78CDE6C83720}" name="Subscription Price" dataDxfId="63" dataCellStyle="Moeda"/>
    <tableColumn id="7" xr3:uid="{F2433F68-AF33-49D0-B1FB-19A396074EDE}" name="Subscription Type" dataDxfId="62"/>
    <tableColumn id="8" xr3:uid="{FD4D9C95-F6E5-4933-9068-A71FF7DF9343}" name="EA Play Season Pass" dataDxfId="61"/>
    <tableColumn id="13" xr3:uid="{978DD0D2-834E-4CE4-A39B-30976086932F}" name="EA Play Season Pass_x000a_Price" dataDxfId="60" dataCellStyle="Moeda"/>
    <tableColumn id="9" xr3:uid="{6E29F111-C395-4580-9DAD-3407D9E8B1A4}" name="Minecraft Season Pass" dataDxfId="59"/>
    <tableColumn id="10" xr3:uid="{EF544EAA-7F25-4FD5-A10E-8E62804DB9E3}" name="Minecraft Season Pass Price" dataDxfId="58" dataCellStyle="Moeda"/>
    <tableColumn id="11" xr3:uid="{7F6EB64A-1F07-4E48-9F0F-AC7D9DCD26F8}" name="Coupon Value" dataDxfId="57" dataCellStyle="Moeda"/>
    <tableColumn id="12" xr3:uid="{2B04ABC8-DE6F-426E-ADC0-D8AFC68CA58E}" name="Total Value" dataDxfId="5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" zoomScale="110" zoomScaleNormal="110" workbookViewId="0">
      <selection activeCell="O24" sqref="O24"/>
    </sheetView>
  </sheetViews>
  <sheetFormatPr baseColWidth="10" defaultColWidth="8.83203125" defaultRowHeight="15"/>
  <cols>
    <col min="9" max="9" width="3.5" customWidth="1"/>
  </cols>
  <sheetData>
    <row r="3" spans="2:16" ht="20" thickBot="1">
      <c r="B3" s="1" t="s">
        <v>0</v>
      </c>
      <c r="C3" s="1"/>
      <c r="D3" s="1"/>
      <c r="E3" s="1"/>
      <c r="F3" s="1"/>
      <c r="G3" s="1"/>
      <c r="H3" s="1"/>
    </row>
    <row r="4" spans="2:16" ht="16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6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Normal="100" workbookViewId="0">
      <selection activeCell="N13" sqref="N13"/>
    </sheetView>
  </sheetViews>
  <sheetFormatPr baseColWidth="10" defaultColWidth="8.83203125" defaultRowHeight="15"/>
  <cols>
    <col min="1" max="1" width="17.83203125" bestFit="1" customWidth="1"/>
    <col min="2" max="2" width="18.83203125" bestFit="1" customWidth="1"/>
    <col min="3" max="3" width="9.5" bestFit="1" customWidth="1"/>
    <col min="4" max="4" width="14.5" bestFit="1" customWidth="1"/>
    <col min="5" max="5" width="18" bestFit="1" customWidth="1"/>
    <col min="6" max="6" width="14.6640625" bestFit="1" customWidth="1"/>
    <col min="7" max="7" width="22" bestFit="1" customWidth="1"/>
    <col min="8" max="8" width="20.5" bestFit="1" customWidth="1"/>
    <col min="9" max="9" width="20.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" bestFit="1" customWidth="1"/>
  </cols>
  <sheetData>
    <row r="1" spans="1:13" ht="32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7:F44"/>
  <sheetViews>
    <sheetView showGridLines="0" topLeftCell="A9" zoomScale="110" zoomScaleNormal="110" workbookViewId="0">
      <selection activeCell="F29" sqref="F29"/>
    </sheetView>
  </sheetViews>
  <sheetFormatPr baseColWidth="10" defaultColWidth="8.83203125" defaultRowHeight="15"/>
  <cols>
    <col min="2" max="2" width="18.5" bestFit="1" customWidth="1"/>
    <col min="3" max="3" width="34.6640625" bestFit="1" customWidth="1"/>
    <col min="4" max="4" width="17.5" bestFit="1" customWidth="1"/>
    <col min="5" max="5" width="6.33203125" customWidth="1"/>
    <col min="6" max="6" width="19.1640625" bestFit="1" customWidth="1"/>
    <col min="7" max="7" width="27.6640625" bestFit="1" customWidth="1"/>
    <col min="8" max="8" width="5.5" customWidth="1"/>
    <col min="9" max="9" width="21.1640625" bestFit="1" customWidth="1"/>
    <col min="10" max="11" width="35.1640625" bestFit="1" customWidth="1"/>
    <col min="12" max="15" width="9.6640625" bestFit="1" customWidth="1"/>
    <col min="16" max="16" width="15.5" bestFit="1" customWidth="1"/>
    <col min="17" max="17" width="12.1640625" bestFit="1" customWidth="1"/>
  </cols>
  <sheetData>
    <row r="7" spans="2:6">
      <c r="B7" s="12" t="s">
        <v>16</v>
      </c>
      <c r="C7" t="s">
        <v>24</v>
      </c>
    </row>
    <row r="9" spans="2:6">
      <c r="B9" s="12" t="s">
        <v>313</v>
      </c>
      <c r="C9" t="s">
        <v>315</v>
      </c>
    </row>
    <row r="10" spans="2:6">
      <c r="B10" s="13" t="s">
        <v>23</v>
      </c>
      <c r="C10" s="14">
        <v>217</v>
      </c>
    </row>
    <row r="11" spans="2:6">
      <c r="B11" s="13" t="s">
        <v>19</v>
      </c>
      <c r="C11" s="14">
        <v>1537</v>
      </c>
    </row>
    <row r="12" spans="2:6">
      <c r="B12" s="13" t="s">
        <v>314</v>
      </c>
      <c r="C12" s="14">
        <v>1754</v>
      </c>
      <c r="F12" s="17">
        <f>GETPIVOTDATA("Total Value",$B$9)</f>
        <v>1754</v>
      </c>
    </row>
    <row r="15" spans="2:6">
      <c r="C15" s="15"/>
    </row>
    <row r="23" spans="2:6">
      <c r="B23" s="12" t="s">
        <v>16</v>
      </c>
      <c r="C23" t="s">
        <v>24</v>
      </c>
    </row>
    <row r="25" spans="2:6">
      <c r="B25" s="12" t="s">
        <v>313</v>
      </c>
      <c r="C25" t="s">
        <v>316</v>
      </c>
    </row>
    <row r="26" spans="2:6">
      <c r="B26" s="13" t="s">
        <v>22</v>
      </c>
      <c r="C26" s="14">
        <v>0</v>
      </c>
    </row>
    <row r="27" spans="2:6">
      <c r="B27" s="13" t="s">
        <v>26</v>
      </c>
      <c r="C27" s="14">
        <v>0</v>
      </c>
    </row>
    <row r="28" spans="2:6">
      <c r="B28" s="13" t="s">
        <v>18</v>
      </c>
      <c r="C28" s="14">
        <v>600</v>
      </c>
    </row>
    <row r="29" spans="2:6">
      <c r="B29" s="13" t="s">
        <v>314</v>
      </c>
      <c r="C29" s="14">
        <v>600</v>
      </c>
      <c r="F29" s="17">
        <f>GETPIVOTDATA("EA Play Season Pass
Price",$B$25)</f>
        <v>600</v>
      </c>
    </row>
    <row r="38" spans="2:6">
      <c r="B38" s="12" t="s">
        <v>16</v>
      </c>
      <c r="C38" t="s">
        <v>24</v>
      </c>
    </row>
    <row r="40" spans="2:6">
      <c r="B40" s="12" t="s">
        <v>313</v>
      </c>
      <c r="C40" t="s">
        <v>317</v>
      </c>
    </row>
    <row r="41" spans="2:6">
      <c r="B41" s="13" t="s">
        <v>22</v>
      </c>
      <c r="C41" s="14">
        <v>0</v>
      </c>
    </row>
    <row r="42" spans="2:6">
      <c r="B42" s="13" t="s">
        <v>26</v>
      </c>
      <c r="C42" s="14">
        <v>540</v>
      </c>
    </row>
    <row r="43" spans="2:6">
      <c r="B43" s="13" t="s">
        <v>18</v>
      </c>
      <c r="C43" s="14">
        <v>400</v>
      </c>
    </row>
    <row r="44" spans="2:6">
      <c r="B44" s="13" t="s">
        <v>314</v>
      </c>
      <c r="C44" s="14">
        <v>940</v>
      </c>
      <c r="F44" s="17">
        <f>GETPIVOTDATA("Minecraft Season Pass Price",$B$40)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FG258"/>
  <sheetViews>
    <sheetView showGridLines="0" tabSelected="1" zoomScale="110" zoomScaleNormal="110" workbookViewId="0">
      <selection activeCell="R10" sqref="R10"/>
    </sheetView>
  </sheetViews>
  <sheetFormatPr baseColWidth="10" defaultColWidth="8.83203125" defaultRowHeight="15"/>
  <cols>
    <col min="1" max="1" width="28" style="19" customWidth="1"/>
    <col min="2" max="2" width="3.5" customWidth="1"/>
    <col min="3" max="3" width="56.83203125" customWidth="1"/>
    <col min="12" max="12" width="6.5" customWidth="1"/>
    <col min="14" max="14" width="6.5" customWidth="1"/>
    <col min="15" max="15" width="6.33203125" hidden="1" customWidth="1"/>
  </cols>
  <sheetData>
    <row r="2" spans="1:163" ht="28" customHeight="1" thickBot="1">
      <c r="C2" s="21" t="s">
        <v>319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8"/>
    </row>
    <row r="3" spans="1:163" ht="13" customHeight="1" thickTop="1"/>
    <row r="4" spans="1:163" ht="8.2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</row>
    <row r="5" spans="1:163" ht="7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</row>
    <row r="6" spans="1:163" ht="10.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</row>
    <row r="7" spans="1:163" ht="9.7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</row>
    <row r="8" spans="1:163" ht="33" customHeight="1">
      <c r="A8" s="20" t="s">
        <v>318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</row>
    <row r="9" spans="1:16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</row>
    <row r="10" spans="1:16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</row>
    <row r="11" spans="1:16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</row>
    <row r="12" spans="1:163" ht="16">
      <c r="B12" s="7"/>
      <c r="C12" s="1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</row>
    <row r="13" spans="1:16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</row>
    <row r="14" spans="1:16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</row>
    <row r="15" spans="1:16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</row>
    <row r="16" spans="1:16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</row>
    <row r="17" spans="2:16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</row>
    <row r="18" spans="2:16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</row>
    <row r="19" spans="2:16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</row>
    <row r="20" spans="2:16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</row>
    <row r="21" spans="2:16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</row>
    <row r="22" spans="2:16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</row>
    <row r="23" spans="2:16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</row>
    <row r="24" spans="2:16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</row>
    <row r="25" spans="2:16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</row>
    <row r="26" spans="2:16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</row>
    <row r="27" spans="2:16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</row>
    <row r="28" spans="2:16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</row>
    <row r="29" spans="2:16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</row>
    <row r="30" spans="2:16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</row>
    <row r="31" spans="2:16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</row>
    <row r="32" spans="2:16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</row>
    <row r="33" spans="2:16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</row>
    <row r="34" spans="2:16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</row>
    <row r="35" spans="2:16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</row>
    <row r="36" spans="2:16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</row>
    <row r="37" spans="2:16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</row>
    <row r="38" spans="2:16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</row>
    <row r="39" spans="2:16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</row>
    <row r="40" spans="2:16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</row>
    <row r="41" spans="2:16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</row>
    <row r="42" spans="2:16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</row>
    <row r="43" spans="2:16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</row>
    <row r="44" spans="2:16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</row>
    <row r="45" spans="2:16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</row>
    <row r="46" spans="2:16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</row>
    <row r="47" spans="2:16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</row>
    <row r="48" spans="2:16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</row>
    <row r="49" spans="2:16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</row>
    <row r="50" spans="2:16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</row>
    <row r="51" spans="2:16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</row>
    <row r="52" spans="2:16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</row>
    <row r="53" spans="2:16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</row>
    <row r="54" spans="2:16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</row>
    <row r="55" spans="2:16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</row>
    <row r="56" spans="2:16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</row>
    <row r="57" spans="2:16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</row>
    <row r="58" spans="2:16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</row>
    <row r="59" spans="2:16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</row>
    <row r="60" spans="2:16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</row>
    <row r="61" spans="2:16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</row>
    <row r="62" spans="2:16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</row>
    <row r="63" spans="2:16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</row>
    <row r="64" spans="2:16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</row>
    <row r="65" spans="2:16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</row>
    <row r="66" spans="2:16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</row>
    <row r="67" spans="2:16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</row>
    <row r="68" spans="2:16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</row>
    <row r="69" spans="2:16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</row>
    <row r="70" spans="2:16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</row>
    <row r="71" spans="2:16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</row>
    <row r="72" spans="2:16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</row>
    <row r="73" spans="2:16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</row>
    <row r="74" spans="2:16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</row>
    <row r="75" spans="2:16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</row>
    <row r="76" spans="2:16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</row>
    <row r="77" spans="2:16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</row>
    <row r="78" spans="2:16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</row>
    <row r="79" spans="2:16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</row>
    <row r="80" spans="2:16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</row>
    <row r="81" spans="2:16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</row>
    <row r="82" spans="2:16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</row>
    <row r="83" spans="2:16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</row>
    <row r="84" spans="2:16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</row>
    <row r="85" spans="2:16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</row>
    <row r="86" spans="2:16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</row>
    <row r="87" spans="2:16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</row>
    <row r="88" spans="2:16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</row>
    <row r="89" spans="2:16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</row>
    <row r="90" spans="2:16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</row>
    <row r="91" spans="2:16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</row>
    <row r="92" spans="2:16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</row>
    <row r="93" spans="2:16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</row>
    <row r="94" spans="2:16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</row>
    <row r="95" spans="2:16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</row>
    <row r="96" spans="2:16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</row>
    <row r="97" spans="2:16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</row>
    <row r="98" spans="2:16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</row>
    <row r="99" spans="2:16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</row>
    <row r="100" spans="2:16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</row>
    <row r="101" spans="2:16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</row>
    <row r="102" spans="2:16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</row>
    <row r="103" spans="2:16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</row>
    <row r="104" spans="2:16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</row>
    <row r="105" spans="2:16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</row>
    <row r="106" spans="2:16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</row>
    <row r="107" spans="2:16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</row>
    <row r="108" spans="2:16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</row>
    <row r="109" spans="2:16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</row>
    <row r="110" spans="2:16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</row>
    <row r="111" spans="2:16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</row>
    <row r="112" spans="2:16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</row>
    <row r="113" spans="2:16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</row>
    <row r="114" spans="2:16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</row>
    <row r="115" spans="2:16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</row>
    <row r="116" spans="2:16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</row>
    <row r="117" spans="2:16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</row>
    <row r="118" spans="2:16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</row>
    <row r="119" spans="2:16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</row>
    <row r="120" spans="2:16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</row>
    <row r="121" spans="2:16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</row>
    <row r="122" spans="2:16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</row>
    <row r="123" spans="2:16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</row>
    <row r="124" spans="2:16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</row>
    <row r="125" spans="2:16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</row>
    <row r="126" spans="2:16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</row>
    <row r="127" spans="2:16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</row>
    <row r="128" spans="2:16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</row>
    <row r="129" spans="2:16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</row>
    <row r="130" spans="2:16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</row>
    <row r="131" spans="2:16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</row>
    <row r="132" spans="2:16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</row>
    <row r="133" spans="2:16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</row>
    <row r="134" spans="2:16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</row>
    <row r="135" spans="2:16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</row>
    <row r="136" spans="2:16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</row>
    <row r="137" spans="2:16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</row>
    <row r="138" spans="2:16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</row>
    <row r="139" spans="2:16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</row>
    <row r="140" spans="2:16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</row>
    <row r="141" spans="2:16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</row>
    <row r="142" spans="2:16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</row>
    <row r="143" spans="2:16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</row>
    <row r="144" spans="2:16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</row>
    <row r="145" spans="2:16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</row>
    <row r="146" spans="2:16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</row>
    <row r="147" spans="2:16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</row>
    <row r="148" spans="2:16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</row>
    <row r="149" spans="2:16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</row>
    <row r="150" spans="2:16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</row>
    <row r="151" spans="2:16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</row>
    <row r="152" spans="2:16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</row>
    <row r="153" spans="2:16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</row>
    <row r="154" spans="2:16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</row>
    <row r="155" spans="2:16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</row>
    <row r="156" spans="2:16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</row>
    <row r="157" spans="2:16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</row>
    <row r="158" spans="2:16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</row>
    <row r="159" spans="2:16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</row>
    <row r="160" spans="2:16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</row>
    <row r="161" spans="2:16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</row>
    <row r="162" spans="2:16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</row>
    <row r="163" spans="2:16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</row>
    <row r="164" spans="2:16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</row>
    <row r="165" spans="2:16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</row>
    <row r="166" spans="2:163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</row>
    <row r="167" spans="2:163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</row>
    <row r="168" spans="2:163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</row>
    <row r="169" spans="2:163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</row>
    <row r="170" spans="2:163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</row>
    <row r="171" spans="2:163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</row>
    <row r="172" spans="2:163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</row>
    <row r="173" spans="2:16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</row>
    <row r="174" spans="2:163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</row>
    <row r="175" spans="2:163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</row>
    <row r="176" spans="2:163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</row>
    <row r="177" spans="2:163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</row>
    <row r="178" spans="2:163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</row>
    <row r="179" spans="2:163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</row>
    <row r="180" spans="2:163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</row>
    <row r="181" spans="2:163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</row>
    <row r="182" spans="2:163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</row>
    <row r="183" spans="2:163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</row>
    <row r="184" spans="2:163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</row>
    <row r="185" spans="2:163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</row>
    <row r="186" spans="2:163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</row>
    <row r="187" spans="2:163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</row>
    <row r="188" spans="2:163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</row>
    <row r="189" spans="2:163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</row>
    <row r="190" spans="2:163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</row>
    <row r="191" spans="2:163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</row>
    <row r="192" spans="2:163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</row>
    <row r="193" spans="2:163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</row>
    <row r="194" spans="2:163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</row>
    <row r="195" spans="2:163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</row>
    <row r="196" spans="2:163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</row>
    <row r="197" spans="2:163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</row>
    <row r="198" spans="2:16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</row>
    <row r="199" spans="2:16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</row>
    <row r="200" spans="2:163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</row>
    <row r="201" spans="2:163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</row>
    <row r="202" spans="2:163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</row>
    <row r="203" spans="2:163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</row>
    <row r="204" spans="2:163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</row>
    <row r="205" spans="2:163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</row>
    <row r="206" spans="2:163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</row>
    <row r="207" spans="2:163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</row>
    <row r="208" spans="2:163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</row>
    <row r="209" spans="2:163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</row>
    <row r="210" spans="2:163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</row>
    <row r="211" spans="2:163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</row>
    <row r="212" spans="2:163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</row>
    <row r="213" spans="2:163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</row>
    <row r="214" spans="2:163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</row>
    <row r="215" spans="2:163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</row>
    <row r="216" spans="2:163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</row>
    <row r="217" spans="2:163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</row>
    <row r="218" spans="2:163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</row>
    <row r="219" spans="2:163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</row>
    <row r="220" spans="2:163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</row>
    <row r="221" spans="2:163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</row>
    <row r="222" spans="2:163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</row>
    <row r="223" spans="2:163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</row>
    <row r="224" spans="2:163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</row>
    <row r="225" spans="2:163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</row>
    <row r="226" spans="2:163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</row>
    <row r="227" spans="2:163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</row>
    <row r="228" spans="2:163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</row>
    <row r="229" spans="2:163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</row>
    <row r="230" spans="2:163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</row>
    <row r="231" spans="2:163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</row>
    <row r="232" spans="2:163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</row>
    <row r="233" spans="2:163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</row>
    <row r="234" spans="2:163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</row>
    <row r="235" spans="2:163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</row>
    <row r="236" spans="2:163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</row>
    <row r="237" spans="2:163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</row>
    <row r="238" spans="2:163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</row>
    <row r="239" spans="2:163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</row>
    <row r="240" spans="2:163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</row>
    <row r="241" spans="2:163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</row>
    <row r="242" spans="2:163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</row>
    <row r="243" spans="2:163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</row>
    <row r="244" spans="2:163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</row>
    <row r="245" spans="2:163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</row>
    <row r="246" spans="2:163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</row>
    <row r="247" spans="2:163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</row>
    <row r="248" spans="2:163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</row>
    <row r="249" spans="2:163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</row>
    <row r="250" spans="2:163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</row>
    <row r="251" spans="2:163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</row>
    <row r="252" spans="2:163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</row>
    <row r="253" spans="2:163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</row>
    <row r="254" spans="2:163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</row>
    <row r="255" spans="2:163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</row>
    <row r="256" spans="2:163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</row>
    <row r="257" spans="2:163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</row>
    <row r="258" spans="2:163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Microsoft Office User</cp:lastModifiedBy>
  <dcterms:created xsi:type="dcterms:W3CDTF">2024-12-19T13:13:10Z</dcterms:created>
  <dcterms:modified xsi:type="dcterms:W3CDTF">2025-12-03T18:41:30Z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